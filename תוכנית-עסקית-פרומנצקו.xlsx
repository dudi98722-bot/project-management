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934~1\AppData\Local\Temp\claude\C--Users---------------OneDrive------------------\2bbbbc28-802a-40da-8c31-3fa80e3a21da\scratchpad\xl\"/>
    </mc:Choice>
  </mc:AlternateContent>
  <xr:revisionPtr revIDLastSave="0" documentId="13_ncr:1_{A36C62F5-3176-49A3-AEFA-BB56B5D288B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הנחות" sheetId="1" r:id="rId1"/>
    <sheet name="דירות" sheetId="2" r:id="rId2"/>
    <sheet name="עלויות" sheetId="3" r:id="rId3"/>
    <sheet name="סיכום" sheetId="4" r:id="rId4"/>
    <sheet name="תזרים" sheetId="5" r:id="rId5"/>
    <sheet name="רגישות" sheetId="6" r:id="rId6"/>
    <sheet name="חילוץ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7" l="1"/>
  <c r="C12" i="7"/>
  <c r="C11" i="7"/>
  <c r="L8" i="5"/>
  <c r="K8" i="5"/>
  <c r="J8" i="5"/>
  <c r="I8" i="5"/>
  <c r="H8" i="5"/>
  <c r="G8" i="5"/>
  <c r="F8" i="5"/>
  <c r="E8" i="5"/>
  <c r="D8" i="5"/>
  <c r="C8" i="5"/>
  <c r="M6" i="5"/>
  <c r="M5" i="5"/>
  <c r="C31" i="4"/>
  <c r="D36" i="3"/>
  <c r="D35" i="3"/>
  <c r="C34" i="3"/>
  <c r="B34" i="3"/>
  <c r="D34" i="3" s="1"/>
  <c r="D33" i="3"/>
  <c r="D37" i="3" s="1"/>
  <c r="D26" i="3"/>
  <c r="D25" i="3"/>
  <c r="C24" i="3"/>
  <c r="C23" i="3"/>
  <c r="C22" i="3"/>
  <c r="C21" i="3"/>
  <c r="C20" i="3"/>
  <c r="C19" i="3"/>
  <c r="C18" i="3"/>
  <c r="C17" i="3"/>
  <c r="C16" i="3"/>
  <c r="C15" i="3"/>
  <c r="C10" i="3"/>
  <c r="B10" i="3"/>
  <c r="D10" i="3" s="1"/>
  <c r="C9" i="3"/>
  <c r="C8" i="3"/>
  <c r="C7" i="3"/>
  <c r="C6" i="3"/>
  <c r="I36" i="2"/>
  <c r="B8" i="3" s="1"/>
  <c r="D8" i="3" s="1"/>
  <c r="H36" i="2"/>
  <c r="B7" i="3" s="1"/>
  <c r="D7" i="3" s="1"/>
  <c r="G36" i="2"/>
  <c r="F36" i="2"/>
  <c r="B9" i="3" s="1"/>
  <c r="D9" i="3" s="1"/>
  <c r="E36" i="2"/>
  <c r="B6" i="3" s="1"/>
  <c r="S34" i="2"/>
  <c r="R34" i="2"/>
  <c r="Q34" i="2"/>
  <c r="P34" i="2"/>
  <c r="O34" i="2"/>
  <c r="N34" i="2"/>
  <c r="M34" i="2"/>
  <c r="L34" i="2"/>
  <c r="K34" i="2"/>
  <c r="J34" i="2"/>
  <c r="A34" i="2"/>
  <c r="S33" i="2"/>
  <c r="R33" i="2"/>
  <c r="Q33" i="2"/>
  <c r="P33" i="2"/>
  <c r="O33" i="2"/>
  <c r="N33" i="2"/>
  <c r="M33" i="2"/>
  <c r="L33" i="2"/>
  <c r="K33" i="2"/>
  <c r="J33" i="2"/>
  <c r="A33" i="2"/>
  <c r="S32" i="2"/>
  <c r="R32" i="2"/>
  <c r="Q32" i="2"/>
  <c r="P32" i="2"/>
  <c r="O32" i="2"/>
  <c r="N32" i="2"/>
  <c r="M32" i="2"/>
  <c r="L32" i="2"/>
  <c r="K32" i="2"/>
  <c r="J32" i="2"/>
  <c r="A32" i="2"/>
  <c r="S31" i="2"/>
  <c r="R31" i="2"/>
  <c r="Q31" i="2"/>
  <c r="P31" i="2"/>
  <c r="O31" i="2"/>
  <c r="N31" i="2"/>
  <c r="M31" i="2"/>
  <c r="L31" i="2"/>
  <c r="K31" i="2"/>
  <c r="J31" i="2"/>
  <c r="A31" i="2"/>
  <c r="S30" i="2"/>
  <c r="R30" i="2"/>
  <c r="Q30" i="2"/>
  <c r="P30" i="2"/>
  <c r="O30" i="2"/>
  <c r="N30" i="2"/>
  <c r="M30" i="2"/>
  <c r="L30" i="2"/>
  <c r="K30" i="2"/>
  <c r="J30" i="2"/>
  <c r="A30" i="2"/>
  <c r="S29" i="2"/>
  <c r="R29" i="2"/>
  <c r="Q29" i="2"/>
  <c r="P29" i="2"/>
  <c r="O29" i="2"/>
  <c r="N29" i="2"/>
  <c r="M29" i="2"/>
  <c r="L29" i="2"/>
  <c r="K29" i="2"/>
  <c r="J29" i="2"/>
  <c r="A29" i="2"/>
  <c r="S28" i="2"/>
  <c r="R28" i="2"/>
  <c r="Q28" i="2"/>
  <c r="P28" i="2"/>
  <c r="O28" i="2"/>
  <c r="N28" i="2"/>
  <c r="M28" i="2"/>
  <c r="L28" i="2"/>
  <c r="K28" i="2"/>
  <c r="J28" i="2"/>
  <c r="A28" i="2"/>
  <c r="S27" i="2"/>
  <c r="R27" i="2"/>
  <c r="Q27" i="2"/>
  <c r="P27" i="2"/>
  <c r="O27" i="2"/>
  <c r="N27" i="2"/>
  <c r="M27" i="2"/>
  <c r="L27" i="2"/>
  <c r="K27" i="2"/>
  <c r="J27" i="2"/>
  <c r="A27" i="2"/>
  <c r="S26" i="2"/>
  <c r="R26" i="2"/>
  <c r="Q26" i="2"/>
  <c r="P26" i="2"/>
  <c r="O26" i="2"/>
  <c r="N26" i="2"/>
  <c r="M26" i="2"/>
  <c r="L26" i="2"/>
  <c r="K26" i="2"/>
  <c r="J26" i="2"/>
  <c r="A26" i="2"/>
  <c r="S25" i="2"/>
  <c r="R25" i="2"/>
  <c r="Q25" i="2"/>
  <c r="P25" i="2"/>
  <c r="O25" i="2"/>
  <c r="N25" i="2"/>
  <c r="M25" i="2"/>
  <c r="L25" i="2"/>
  <c r="K25" i="2"/>
  <c r="J25" i="2"/>
  <c r="A25" i="2"/>
  <c r="S24" i="2"/>
  <c r="R24" i="2"/>
  <c r="Q24" i="2"/>
  <c r="P24" i="2"/>
  <c r="O24" i="2"/>
  <c r="N24" i="2"/>
  <c r="M24" i="2"/>
  <c r="L24" i="2"/>
  <c r="K24" i="2"/>
  <c r="J24" i="2"/>
  <c r="A24" i="2"/>
  <c r="S23" i="2"/>
  <c r="R23" i="2"/>
  <c r="Q23" i="2"/>
  <c r="P23" i="2"/>
  <c r="O23" i="2"/>
  <c r="N23" i="2"/>
  <c r="M23" i="2"/>
  <c r="L23" i="2"/>
  <c r="K23" i="2"/>
  <c r="J23" i="2"/>
  <c r="A23" i="2"/>
  <c r="P22" i="2"/>
  <c r="Q22" i="2" s="1"/>
  <c r="N22" i="2"/>
  <c r="O22" i="2" s="1"/>
  <c r="K22" i="2"/>
  <c r="M22" i="2" s="1"/>
  <c r="J22" i="2"/>
  <c r="A22" i="2"/>
  <c r="P21" i="2"/>
  <c r="Q21" i="2" s="1"/>
  <c r="N21" i="2"/>
  <c r="O21" i="2" s="1"/>
  <c r="K21" i="2"/>
  <c r="M21" i="2" s="1"/>
  <c r="J21" i="2"/>
  <c r="L21" i="2" s="1"/>
  <c r="R21" i="2" s="1"/>
  <c r="S21" i="2" s="1"/>
  <c r="A21" i="2"/>
  <c r="P20" i="2"/>
  <c r="Q20" i="2" s="1"/>
  <c r="N20" i="2"/>
  <c r="O20" i="2" s="1"/>
  <c r="K20" i="2"/>
  <c r="M20" i="2" s="1"/>
  <c r="J20" i="2"/>
  <c r="A20" i="2"/>
  <c r="P19" i="2"/>
  <c r="Q19" i="2" s="1"/>
  <c r="N19" i="2"/>
  <c r="O19" i="2" s="1"/>
  <c r="K19" i="2"/>
  <c r="M19" i="2" s="1"/>
  <c r="J19" i="2"/>
  <c r="A19" i="2"/>
  <c r="P18" i="2"/>
  <c r="Q18" i="2" s="1"/>
  <c r="N18" i="2"/>
  <c r="O18" i="2" s="1"/>
  <c r="K18" i="2"/>
  <c r="M18" i="2" s="1"/>
  <c r="J18" i="2"/>
  <c r="A18" i="2"/>
  <c r="P17" i="2"/>
  <c r="Q17" i="2" s="1"/>
  <c r="N17" i="2"/>
  <c r="O17" i="2" s="1"/>
  <c r="K17" i="2"/>
  <c r="M17" i="2" s="1"/>
  <c r="J17" i="2"/>
  <c r="A17" i="2"/>
  <c r="P16" i="2"/>
  <c r="Q16" i="2" s="1"/>
  <c r="N16" i="2"/>
  <c r="O16" i="2" s="1"/>
  <c r="K16" i="2"/>
  <c r="M16" i="2" s="1"/>
  <c r="J16" i="2"/>
  <c r="A16" i="2"/>
  <c r="P15" i="2"/>
  <c r="Q15" i="2" s="1"/>
  <c r="N15" i="2"/>
  <c r="O15" i="2" s="1"/>
  <c r="K15" i="2"/>
  <c r="M15" i="2" s="1"/>
  <c r="J15" i="2"/>
  <c r="A15" i="2"/>
  <c r="P14" i="2"/>
  <c r="Q14" i="2" s="1"/>
  <c r="N14" i="2"/>
  <c r="O14" i="2" s="1"/>
  <c r="K14" i="2"/>
  <c r="M14" i="2" s="1"/>
  <c r="J14" i="2"/>
  <c r="A14" i="2"/>
  <c r="P13" i="2"/>
  <c r="Q13" i="2" s="1"/>
  <c r="N13" i="2"/>
  <c r="O13" i="2" s="1"/>
  <c r="K13" i="2"/>
  <c r="M13" i="2" s="1"/>
  <c r="J13" i="2"/>
  <c r="A13" i="2"/>
  <c r="P12" i="2"/>
  <c r="Q12" i="2" s="1"/>
  <c r="N12" i="2"/>
  <c r="O12" i="2" s="1"/>
  <c r="K12" i="2"/>
  <c r="M12" i="2" s="1"/>
  <c r="J12" i="2"/>
  <c r="A12" i="2"/>
  <c r="P11" i="2"/>
  <c r="Q11" i="2" s="1"/>
  <c r="N11" i="2"/>
  <c r="O11" i="2" s="1"/>
  <c r="K11" i="2"/>
  <c r="M11" i="2" s="1"/>
  <c r="J11" i="2"/>
  <c r="A11" i="2"/>
  <c r="P10" i="2"/>
  <c r="Q10" i="2" s="1"/>
  <c r="N10" i="2"/>
  <c r="O10" i="2" s="1"/>
  <c r="K10" i="2"/>
  <c r="M10" i="2" s="1"/>
  <c r="J10" i="2"/>
  <c r="L10" i="2" s="1"/>
  <c r="A10" i="2"/>
  <c r="P9" i="2"/>
  <c r="Q9" i="2" s="1"/>
  <c r="N9" i="2"/>
  <c r="O9" i="2" s="1"/>
  <c r="K9" i="2"/>
  <c r="M9" i="2" s="1"/>
  <c r="J9" i="2"/>
  <c r="L9" i="2" s="1"/>
  <c r="R9" i="2" s="1"/>
  <c r="S9" i="2" s="1"/>
  <c r="A9" i="2"/>
  <c r="P8" i="2"/>
  <c r="Q8" i="2" s="1"/>
  <c r="N8" i="2"/>
  <c r="O8" i="2" s="1"/>
  <c r="K8" i="2"/>
  <c r="M8" i="2" s="1"/>
  <c r="J8" i="2"/>
  <c r="L8" i="2" s="1"/>
  <c r="R8" i="2" s="1"/>
  <c r="S8" i="2" s="1"/>
  <c r="A8" i="2"/>
  <c r="P7" i="2"/>
  <c r="Q7" i="2" s="1"/>
  <c r="N7" i="2"/>
  <c r="O7" i="2" s="1"/>
  <c r="K7" i="2"/>
  <c r="M7" i="2" s="1"/>
  <c r="J7" i="2"/>
  <c r="A7" i="2"/>
  <c r="P6" i="2"/>
  <c r="Q6" i="2" s="1"/>
  <c r="N6" i="2"/>
  <c r="O6" i="2" s="1"/>
  <c r="K6" i="2"/>
  <c r="M6" i="2" s="1"/>
  <c r="J6" i="2"/>
  <c r="L6" i="2" s="1"/>
  <c r="R6" i="2" s="1"/>
  <c r="S6" i="2" s="1"/>
  <c r="A6" i="2"/>
  <c r="P5" i="2"/>
  <c r="Q5" i="2" s="1"/>
  <c r="N5" i="2"/>
  <c r="O5" i="2" s="1"/>
  <c r="K5" i="2"/>
  <c r="M5" i="2" s="1"/>
  <c r="M36" i="2" s="1"/>
  <c r="J5" i="2"/>
  <c r="L5" i="2" s="1"/>
  <c r="A5" i="2"/>
  <c r="C10" i="1"/>
  <c r="L18" i="2" l="1"/>
  <c r="R18" i="2" s="1"/>
  <c r="S18" i="2" s="1"/>
  <c r="L13" i="2"/>
  <c r="R13" i="2" s="1"/>
  <c r="S13" i="2" s="1"/>
  <c r="L12" i="2"/>
  <c r="R12" i="2" s="1"/>
  <c r="S12" i="2" s="1"/>
  <c r="L22" i="2"/>
  <c r="R22" i="2" s="1"/>
  <c r="S22" i="2" s="1"/>
  <c r="L19" i="2"/>
  <c r="R19" i="2" s="1"/>
  <c r="S19" i="2" s="1"/>
  <c r="L15" i="2"/>
  <c r="R15" i="2" s="1"/>
  <c r="S15" i="2" s="1"/>
  <c r="L7" i="2"/>
  <c r="R7" i="2" s="1"/>
  <c r="S7" i="2" s="1"/>
  <c r="Q36" i="2"/>
  <c r="L20" i="2"/>
  <c r="R20" i="2" s="1"/>
  <c r="S20" i="2" s="1"/>
  <c r="L17" i="2"/>
  <c r="R17" i="2" s="1"/>
  <c r="S17" i="2" s="1"/>
  <c r="L14" i="2"/>
  <c r="R14" i="2" s="1"/>
  <c r="S14" i="2" s="1"/>
  <c r="L16" i="2"/>
  <c r="R16" i="2" s="1"/>
  <c r="S16" i="2" s="1"/>
  <c r="L11" i="2"/>
  <c r="R11" i="2" s="1"/>
  <c r="S11" i="2" s="1"/>
  <c r="R10" i="2"/>
  <c r="S10" i="2" s="1"/>
  <c r="O36" i="2"/>
  <c r="J36" i="2"/>
  <c r="C12" i="4"/>
  <c r="B8" i="5"/>
  <c r="D6" i="3"/>
  <c r="B11" i="3"/>
  <c r="B15" i="3"/>
  <c r="D15" i="3" s="1"/>
  <c r="D36" i="2"/>
  <c r="C11" i="1"/>
  <c r="R5" i="2"/>
  <c r="L36" i="2"/>
  <c r="M8" i="5" l="1"/>
  <c r="D11" i="3"/>
  <c r="E6" i="3" s="1"/>
  <c r="C5" i="4"/>
  <c r="B21" i="3"/>
  <c r="D21" i="3" s="1"/>
  <c r="S5" i="2"/>
  <c r="S36" i="2" s="1"/>
  <c r="R36" i="2"/>
  <c r="C6" i="4" s="1"/>
  <c r="E9" i="3" l="1"/>
  <c r="E7" i="3"/>
  <c r="E8" i="3"/>
  <c r="E10" i="3"/>
  <c r="E11" i="3"/>
  <c r="B16" i="3"/>
  <c r="D16" i="3" s="1"/>
  <c r="B19" i="3"/>
  <c r="D19" i="3" s="1"/>
  <c r="B20" i="3"/>
  <c r="D20" i="3" s="1"/>
  <c r="B21" i="5" s="1"/>
  <c r="B22" i="3"/>
  <c r="D22" i="3" s="1"/>
  <c r="B24" i="3"/>
  <c r="D24" i="3" s="1"/>
  <c r="D9" i="5"/>
  <c r="F9" i="5"/>
  <c r="H9" i="5"/>
  <c r="K9" i="5"/>
  <c r="B9" i="5"/>
  <c r="G9" i="5"/>
  <c r="J9" i="5"/>
  <c r="C25" i="4"/>
  <c r="C9" i="5"/>
  <c r="E9" i="5"/>
  <c r="I9" i="5"/>
  <c r="L9" i="5"/>
  <c r="C8" i="7"/>
  <c r="C13" i="4"/>
  <c r="C7" i="4"/>
  <c r="C8" i="4"/>
  <c r="C9" i="4"/>
  <c r="B23" i="3"/>
  <c r="D23" i="3" s="1"/>
  <c r="C34" i="4"/>
  <c r="D28" i="3" l="1"/>
  <c r="M9" i="5"/>
  <c r="D13" i="4"/>
  <c r="D12" i="4"/>
  <c r="D7" i="4"/>
  <c r="B17" i="3"/>
  <c r="D17" i="3" s="1"/>
  <c r="B18" i="3"/>
  <c r="D18" i="3" s="1"/>
  <c r="B12" i="5"/>
  <c r="C12" i="5"/>
  <c r="D12" i="5"/>
  <c r="E12" i="5"/>
  <c r="F12" i="5"/>
  <c r="G12" i="5"/>
  <c r="H12" i="5"/>
  <c r="I12" i="5"/>
  <c r="J12" i="5"/>
  <c r="K12" i="5"/>
  <c r="L12" i="5"/>
  <c r="C39" i="4"/>
  <c r="D5" i="6"/>
  <c r="E5" i="6"/>
  <c r="G5" i="6"/>
  <c r="I5" i="6"/>
  <c r="J5" i="6"/>
  <c r="C6" i="6"/>
  <c r="G6" i="6"/>
  <c r="I6" i="6"/>
  <c r="J6" i="6"/>
  <c r="D7" i="6"/>
  <c r="F7" i="6"/>
  <c r="H7" i="6"/>
  <c r="J7" i="6"/>
  <c r="B8" i="6"/>
  <c r="E8" i="6"/>
  <c r="G8" i="6"/>
  <c r="I8" i="6"/>
  <c r="B9" i="6"/>
  <c r="D9" i="6"/>
  <c r="F9" i="6"/>
  <c r="H9" i="6"/>
  <c r="J9" i="6"/>
  <c r="C10" i="6"/>
  <c r="E10" i="6"/>
  <c r="G10" i="6"/>
  <c r="I10" i="6"/>
  <c r="C5" i="7"/>
  <c r="B5" i="6"/>
  <c r="C5" i="6"/>
  <c r="F5" i="6"/>
  <c r="H5" i="6"/>
  <c r="B6" i="6"/>
  <c r="D6" i="6"/>
  <c r="E6" i="6"/>
  <c r="F6" i="6"/>
  <c r="H6" i="6"/>
  <c r="B7" i="6"/>
  <c r="C7" i="6"/>
  <c r="E7" i="6"/>
  <c r="G7" i="6"/>
  <c r="I7" i="6"/>
  <c r="C8" i="6"/>
  <c r="D8" i="6"/>
  <c r="F8" i="6"/>
  <c r="H8" i="6"/>
  <c r="J8" i="6"/>
  <c r="C9" i="6"/>
  <c r="E9" i="6"/>
  <c r="G9" i="6"/>
  <c r="I9" i="6"/>
  <c r="B10" i="6"/>
  <c r="D10" i="6"/>
  <c r="F10" i="6"/>
  <c r="H10" i="6"/>
  <c r="J10" i="6"/>
  <c r="C6" i="7"/>
  <c r="M12" i="5" l="1"/>
  <c r="C7" i="7"/>
  <c r="D29" i="3"/>
  <c r="D27" i="3"/>
  <c r="K10" i="5" l="1"/>
  <c r="K11" i="5" s="1"/>
  <c r="K13" i="5" s="1"/>
  <c r="I10" i="5"/>
  <c r="I11" i="5" s="1"/>
  <c r="I13" i="5" s="1"/>
  <c r="F10" i="5"/>
  <c r="F11" i="5" s="1"/>
  <c r="F13" i="5" s="1"/>
  <c r="E10" i="5"/>
  <c r="E11" i="5" s="1"/>
  <c r="E13" i="5" s="1"/>
  <c r="C10" i="5"/>
  <c r="C11" i="5" s="1"/>
  <c r="C13" i="5" s="1"/>
  <c r="G10" i="5"/>
  <c r="G11" i="5" s="1"/>
  <c r="G13" i="5" s="1"/>
  <c r="L10" i="5"/>
  <c r="L11" i="5" s="1"/>
  <c r="L13" i="5" s="1"/>
  <c r="J10" i="5"/>
  <c r="J11" i="5" s="1"/>
  <c r="J13" i="5" s="1"/>
  <c r="H10" i="5"/>
  <c r="H11" i="5" s="1"/>
  <c r="H13" i="5" s="1"/>
  <c r="D10" i="5"/>
  <c r="D11" i="5" s="1"/>
  <c r="D13" i="5" s="1"/>
  <c r="B10" i="5"/>
  <c r="B11" i="5"/>
  <c r="M10" i="5"/>
  <c r="C14" i="4"/>
  <c r="C9" i="7"/>
  <c r="C10" i="7" s="1"/>
  <c r="C13" i="7" s="1"/>
  <c r="C14" i="7" s="1"/>
  <c r="C17" i="7" s="1"/>
  <c r="A18" i="7" s="1"/>
  <c r="D39" i="3"/>
  <c r="M11" i="5" l="1"/>
  <c r="B13" i="5"/>
  <c r="C15" i="4"/>
  <c r="D14" i="4"/>
  <c r="M13" i="5" l="1"/>
  <c r="B14" i="5"/>
  <c r="D15" i="4"/>
  <c r="C23" i="4"/>
  <c r="C28" i="4"/>
  <c r="C29" i="4" s="1"/>
  <c r="C30" i="4"/>
  <c r="C36" i="4" s="1"/>
  <c r="C40" i="4"/>
  <c r="C41" i="4" s="1"/>
  <c r="C44" i="4"/>
  <c r="C35" i="4"/>
  <c r="C17" i="4"/>
  <c r="C14" i="5" l="1"/>
  <c r="B15" i="5"/>
  <c r="B16" i="5"/>
  <c r="C42" i="4"/>
  <c r="C43" i="4"/>
  <c r="C32" i="4"/>
  <c r="C33" i="4" s="1"/>
  <c r="C24" i="4"/>
  <c r="C22" i="4"/>
  <c r="C21" i="4"/>
  <c r="D17" i="4"/>
  <c r="D14" i="5" l="1"/>
  <c r="C15" i="5"/>
  <c r="C16" i="5"/>
  <c r="E14" i="5" l="1"/>
  <c r="D15" i="5"/>
  <c r="D16" i="5"/>
  <c r="F14" i="5" l="1"/>
  <c r="E15" i="5"/>
  <c r="E16" i="5"/>
  <c r="G14" i="5" l="1"/>
  <c r="F15" i="5"/>
  <c r="F16" i="5"/>
  <c r="H14" i="5" l="1"/>
  <c r="G15" i="5"/>
  <c r="G16" i="5"/>
  <c r="I14" i="5" l="1"/>
  <c r="H15" i="5"/>
  <c r="H16" i="5"/>
  <c r="J14" i="5" l="1"/>
  <c r="I15" i="5"/>
  <c r="I16" i="5"/>
  <c r="K14" i="5" l="1"/>
  <c r="J15" i="5"/>
  <c r="J16" i="5"/>
  <c r="L14" i="5" l="1"/>
  <c r="K15" i="5"/>
  <c r="K16" i="5"/>
  <c r="M14" i="5" l="1"/>
  <c r="L15" i="5"/>
  <c r="M15" i="5" s="1"/>
  <c r="B18" i="5" s="1"/>
  <c r="L16" i="5"/>
  <c r="M16" i="5" l="1"/>
  <c r="B19" i="5" s="1"/>
  <c r="B20" i="5"/>
  <c r="B2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דוח אפס</author>
  </authors>
  <commentList>
    <comment ref="L5" authorId="0" shapeId="0" xr:uid="{00000000-0006-0000-0100-000001000000}">
      <text>
        <r>
          <rPr>
            <sz val="11"/>
            <color theme="1"/>
            <rFont val="Arial"/>
            <family val="2"/>
            <scheme val="minor"/>
          </rPr>
          <t>ניתן להקליד כאן סכום ידני ולדרוס את הנוסחה — למשל דירה שנמכרה בחוזה במחיר מוסכם.</t>
        </r>
      </text>
    </comment>
  </commentList>
</comments>
</file>

<file path=xl/sharedStrings.xml><?xml version="1.0" encoding="utf-8"?>
<sst xmlns="http://schemas.openxmlformats.org/spreadsheetml/2006/main" count="317" uniqueCount="217">
  <si>
    <t>תוכנית עסקית — דוח אפס פנימי</t>
  </si>
  <si>
    <t>פרויקט פרומנצקו · כל הסכומים בשקלים</t>
  </si>
  <si>
    <t>מקרא:  כחול = נתון להזנה ידנית  ·  שחור = מחושב בנוסחה  ·  ירוק = מקושר מגיליון אחר  ·  רקע צהוב = מנוף מרכזי</t>
  </si>
  <si>
    <t>פרמטרים כלליים</t>
  </si>
  <si>
    <t>שיעור מע״מ</t>
  </si>
  <si>
    <t>18% מ-1.1.2025. בקבצי המקור חושב 17%.</t>
  </si>
  <si>
    <t>משך תכנון והיערכות (חודשים)</t>
  </si>
  <si>
    <t>משך ביצוע ובנייה (חודשים)</t>
  </si>
  <si>
    <t>משך אכלוס וסגירה (חודשים)</t>
  </si>
  <si>
    <t>סה״כ משך הפרויקט (חודשים)</t>
  </si>
  <si>
    <t>מספר יחידות דיור</t>
  </si>
  <si>
    <t>מחירון מכירה — ₪ למ״ר, כולל מע״מ</t>
  </si>
  <si>
    <t>דירה רגילה</t>
  </si>
  <si>
    <t>גם למחסן צמוד ולמחסן נוסף של אותה דירה</t>
  </si>
  <si>
    <t>דירת גן</t>
  </si>
  <si>
    <t>פנטהאוז</t>
  </si>
  <si>
    <t>מרפסת — שיעור ממחיר הדירה</t>
  </si>
  <si>
    <t>מחיר המ״ר של סוג הדירה × שיעור זה</t>
  </si>
  <si>
    <t>חצר — שיעור ממחיר דירת גן</t>
  </si>
  <si>
    <t>מקדם מחירון גלובלי</t>
  </si>
  <si>
    <t>1.00 = מחירון בסיס. לניתוח תרחישים.</t>
  </si>
  <si>
    <t>שטחים שאינם נגזרים מטבלת הדירות (מ״ר)</t>
  </si>
  <si>
    <t>שטחי שירות (מבואות, מדרגות, טכני)</t>
  </si>
  <si>
    <t>מתוך תיק התכנון</t>
  </si>
  <si>
    <t>שטחי חניה ומרתפים</t>
  </si>
  <si>
    <t>שטחים נוספים</t>
  </si>
  <si>
    <t>מקדם ברוטו/נטו לבנייה</t>
  </si>
  <si>
    <t>מוחל על פלדלת, שירות ושטחים נוספים</t>
  </si>
  <si>
    <t>עלויות בנייה ישירות — ₪ למ״ר, ללא מע״מ</t>
  </si>
  <si>
    <t>שטח פלדלת, שירות ושטחים נוספים</t>
  </si>
  <si>
    <t>מרפסות זיז</t>
  </si>
  <si>
    <t>מרפסות גג, גינות וחצרות</t>
  </si>
  <si>
    <t>שטחי אחסנה ומחסנים</t>
  </si>
  <si>
    <t>עלויות עקיפות ופיתוח</t>
  </si>
  <si>
    <t>פיתוח ואגרות בנייה (₪ למ״ר)</t>
  </si>
  <si>
    <t>תכנון, ניהול ופיקוח</t>
  </si>
  <si>
    <t>מעלויות הבנייה הישירות</t>
  </si>
  <si>
    <t>שיווק ופרסום</t>
  </si>
  <si>
    <t>משווי הפרויקט ללא מע״מ</t>
  </si>
  <si>
    <t>הוצאות משפטיות</t>
  </si>
  <si>
    <t>תקורה וניהול בנייה</t>
  </si>
  <si>
    <t>עלויות מימון (לשנה)</t>
  </si>
  <si>
    <t>שנות מימון</t>
  </si>
  <si>
    <t>חיבורי חשמל, מים וגז (₪ ליח״ד)</t>
  </si>
  <si>
    <t>ליווי פיננסי ועמלות</t>
  </si>
  <si>
    <t>ערבויות חוק מכר</t>
  </si>
  <si>
    <t>משווי הפרויקט כולל מע״מ</t>
  </si>
  <si>
    <t>בלתי צפוי מראש</t>
  </si>
  <si>
    <t>שכ״ד לדיירי המבנה הקיים</t>
  </si>
  <si>
    <t>פינוי, הובלה ואחסון</t>
  </si>
  <si>
    <t>רכישת קרקע ומסים</t>
  </si>
  <si>
    <t>עלות רכישת הקרקע / הזכויות</t>
  </si>
  <si>
    <t>מס רכישה</t>
  </si>
  <si>
    <t>היטל השבחה ומסי ועדה</t>
  </si>
  <si>
    <t>עלויות נלוות (שמאות, עו״ד, תיווך)</t>
  </si>
  <si>
    <t>מבנה מימון</t>
  </si>
  <si>
    <t>שיעור הון עצמי נדרש</t>
  </si>
  <si>
    <t>מסך עלות הפרויקט</t>
  </si>
  <si>
    <t>ריבית אשראי שנתית</t>
  </si>
  <si>
    <t>מכירות מוקדמות נדרשות</t>
  </si>
  <si>
    <t>מהיקף הפרויקט כולל מע״מ</t>
  </si>
  <si>
    <t>בדיקת חילוץ שווי קרקע</t>
  </si>
  <si>
    <t>רווח יזמי נדרש</t>
  </si>
  <si>
    <t>מהמחזור, לצורך חילוץ שווי הקרקע</t>
  </si>
  <si>
    <t>טבלת הדירות ואומדן ההכנסות</t>
  </si>
  <si>
    <t>שטח × תעריף = רכיב מחיר. ניתן להקליד סכום ידני ישירות בעמודות L / M / O / Q ולדרוס את הנוסחה.</t>
  </si>
  <si>
    <t>דירה
מספר</t>
  </si>
  <si>
    <t>קומה</t>
  </si>
  <si>
    <t>צד/כיוון</t>
  </si>
  <si>
    <t>סוג הדירה</t>
  </si>
  <si>
    <t>גודל
דירה</t>
  </si>
  <si>
    <t>מחסן
צמוד</t>
  </si>
  <si>
    <t>מחסן
נוסף</t>
  </si>
  <si>
    <t>מרפסות</t>
  </si>
  <si>
    <t>חצר</t>
  </si>
  <si>
    <t>דירה
כולל צמוד</t>
  </si>
  <si>
    <t>תעריף
מ״ר</t>
  </si>
  <si>
    <t>דירה
סך הכל</t>
  </si>
  <si>
    <t>מחסן
סך הכל</t>
  </si>
  <si>
    <t>תעריף
מרפסת</t>
  </si>
  <si>
    <t>מרפסת
סך הכל</t>
  </si>
  <si>
    <t>תעריף
חצר</t>
  </si>
  <si>
    <t>חצר
סך הכל</t>
  </si>
  <si>
    <t>מחיר
כולל מע״מ</t>
  </si>
  <si>
    <t>מחיר
ללא מע״מ</t>
  </si>
  <si>
    <t>-2</t>
  </si>
  <si>
    <t>צפון</t>
  </si>
  <si>
    <t>דרום</t>
  </si>
  <si>
    <t>-1</t>
  </si>
  <si>
    <t>כניסה</t>
  </si>
  <si>
    <t>1</t>
  </si>
  <si>
    <t>2</t>
  </si>
  <si>
    <t>מערב</t>
  </si>
  <si>
    <t>3</t>
  </si>
  <si>
    <t>4</t>
  </si>
  <si>
    <t>5</t>
  </si>
  <si>
    <t>↑ שורות ריקות מוכנות להוספת דירות — מלא קומה, צד, סוג ושטחים, וכל המודל יתעדכן</t>
  </si>
  <si>
    <t>סה״כ</t>
  </si>
  <si>
    <t>התעריפים בעמודות K, N, P נגזרים מסוג הדירה ומהמחירון בגיליון ״הנחות״. שינוי המחירון מתעדכן כאן ובכל שאר הגיליונות.</t>
  </si>
  <si>
    <t>מספור הדירות בעמודה A מתעדכן אוטומטית לפי השורות המאוכלסות.</t>
  </si>
  <si>
    <t>אומדן עלויות הפרויקט</t>
  </si>
  <si>
    <t>כל הסכומים ללא מע״מ, למעט ערבויות חוק מכר המחושבות משווי כולל מע״מ.</t>
  </si>
  <si>
    <t>א. עלויות בנייה ישירות</t>
  </si>
  <si>
    <t>תיאור</t>
  </si>
  <si>
    <t>שטח (מ״ר)</t>
  </si>
  <si>
    <t>עלות למ״ר</t>
  </si>
  <si>
    <t>סה״כ עלות</t>
  </si>
  <si>
    <t>% מהישיר</t>
  </si>
  <si>
    <t>סה״כ עלויות בנייה ישירות</t>
  </si>
  <si>
    <t>ב. עלויות עקיפות ופיתוח</t>
  </si>
  <si>
    <t>בסיס החישוב</t>
  </si>
  <si>
    <t>שיעור / תעריף</t>
  </si>
  <si>
    <t>קישור לתזרים</t>
  </si>
  <si>
    <t>פיתוח ואגרות בנייה</t>
  </si>
  <si>
    <t>בנייה</t>
  </si>
  <si>
    <t>מכירות</t>
  </si>
  <si>
    <t>עלויות מימון</t>
  </si>
  <si>
    <t>חיבורי חשמל, מים וגז</t>
  </si>
  <si>
    <t>סה״כ עלויות עקיפות</t>
  </si>
  <si>
    <t>מזה — נגזר מקצב הבנייה</t>
  </si>
  <si>
    <t>מזה — נגזר מקצב המכירות</t>
  </si>
  <si>
    <t>ג. רכישת הקרקע ומסים</t>
  </si>
  <si>
    <t>בסיס</t>
  </si>
  <si>
    <t>שיעור</t>
  </si>
  <si>
    <t>סה״כ עלות רכישה</t>
  </si>
  <si>
    <t>סה״כ עלות הקמת הפרויקט</t>
  </si>
  <si>
    <t>סיכום עלויות, הכנסות ורווחיות</t>
  </si>
  <si>
    <t>הריכוז הכלכלי של הפרויקט — הבסיס להחלטת האשראי.</t>
  </si>
  <si>
    <t>הכנסות</t>
  </si>
  <si>
    <t>סה״כ שווי מכירות כולל מע״מ</t>
  </si>
  <si>
    <t>סה״כ הכנסות ללא מע״מ</t>
  </si>
  <si>
    <t>מחיר ממוצע ליח״ד (כולל מע״מ)</t>
  </si>
  <si>
    <t>מחיר ממוצע למ״ר דירתי (כולל מע״מ)</t>
  </si>
  <si>
    <t>עלויות</t>
  </si>
  <si>
    <t>עלות רכישת קרקע, מסים והיטלים</t>
  </si>
  <si>
    <t>עלויות בנייה ישירות</t>
  </si>
  <si>
    <t>עלויות עקיפות, פיתוח ומימון</t>
  </si>
  <si>
    <t>רווח יזמי צפוי לפני מס</t>
  </si>
  <si>
    <t>מדדי רווחיות</t>
  </si>
  <si>
    <t>רווח יזמי מהעלות</t>
  </si>
  <si>
    <t>סף מקובל בבנקים 20%–25%</t>
  </si>
  <si>
    <t>שיעור רווח מהמחזור</t>
  </si>
  <si>
    <t>סף מקובל 15%–18%</t>
  </si>
  <si>
    <t>עלות כוללת ליח״ד</t>
  </si>
  <si>
    <t>רווח ליח״ד</t>
  </si>
  <si>
    <t>עלות בנייה ממוצעת למ״ר בנוי</t>
  </si>
  <si>
    <t>מבנה מימון וליווי בנקאי</t>
  </si>
  <si>
    <t>הון עצמי נדרש</t>
  </si>
  <si>
    <t>יחס הון עצמי לעלות</t>
  </si>
  <si>
    <t>סף מקובל ≥ 20%</t>
  </si>
  <si>
    <t>מסגרת ליווי בנקאית</t>
  </si>
  <si>
    <t>עלות הפרויקט בניכוי ההון העצמי</t>
  </si>
  <si>
    <t>שיא ניצול אשראי בפועל</t>
  </si>
  <si>
    <t>מתוך גיליון התזרים</t>
  </si>
  <si>
    <t>תשואה על ההון (כל התקופה)</t>
  </si>
  <si>
    <t>תשואה על ההון (שנתי ממוצע)</t>
  </si>
  <si>
    <t>עודף הכנסות צפוי (Surplus)</t>
  </si>
  <si>
    <t>חייב להיות חיובי</t>
  </si>
  <si>
    <t>יחס כיסוי הכנסות למסגרת</t>
  </si>
  <si>
    <t>סף מקובל ≥ 1.3×</t>
  </si>
  <si>
    <t>נקודת איזון</t>
  </si>
  <si>
    <t>עלויות השיווק, המשפטיות והערבויות נגזרות מהמחזור ולכן משתנות יחד עם המחיר</t>
  </si>
  <si>
    <t>עלויות הנגזרות מהמחזור</t>
  </si>
  <si>
    <t>עלויות שאינן תלויות במחיר</t>
  </si>
  <si>
    <t>מקדם מחיר לאיזון</t>
  </si>
  <si>
    <t>ירידת מחירים מותרת עד האיזון</t>
  </si>
  <si>
    <t>מחיר מ״ר לאיזון (דירה רגילה)</t>
  </si>
  <si>
    <t>שיעור מכירות לכיסוי האשראי</t>
  </si>
  <si>
    <t>תזרים מזומנים רבעוני</t>
  </si>
  <si>
    <t>פריסה על פני 11 רבעונים. אחוזי ההתקדמות בשורות 5–6 ניתנים לעריכה — הסכומים מנורמלים אוטומטית.</t>
  </si>
  <si>
    <t>סעיף</t>
  </si>
  <si>
    <t>רבעון 1</t>
  </si>
  <si>
    <t>רבעון 2</t>
  </si>
  <si>
    <t>רבעון 3</t>
  </si>
  <si>
    <t>רבעון 4</t>
  </si>
  <si>
    <t>רבעון 5</t>
  </si>
  <si>
    <t>רבעון 6</t>
  </si>
  <si>
    <t>רבעון 7</t>
  </si>
  <si>
    <t>רבעון 8</t>
  </si>
  <si>
    <t>רבעון 9</t>
  </si>
  <si>
    <t>רבעון 10</t>
  </si>
  <si>
    <t>רבעון 11</t>
  </si>
  <si>
    <t>% התקדמות בנייה</t>
  </si>
  <si>
    <t>% גביית מכירות</t>
  </si>
  <si>
    <t>סה״כ תשלומים</t>
  </si>
  <si>
    <t>תקבולי מכירות (ללא מע״מ)</t>
  </si>
  <si>
    <t>תזרים נטו לתקופה</t>
  </si>
  <si>
    <t>תזרים מצטבר</t>
  </si>
  <si>
    <t>צריכת מקורות מצטברת</t>
  </si>
  <si>
    <t>יתרת אשראי בנקאי</t>
  </si>
  <si>
    <t>שיא צריכת מקורות (הון עצמי + אשראי)</t>
  </si>
  <si>
    <t>שיא ניצול אשראי בנקאי בפועל</t>
  </si>
  <si>
    <t>ריבית מצטברת על יתרת האשראי</t>
  </si>
  <si>
    <t>עלות מימון שהוזנה בסעיף העקיפות</t>
  </si>
  <si>
    <t>כרית ביטחון במימון</t>
  </si>
  <si>
    <t>ניתוח רגישות — רווח יזמי מהעלות</t>
  </si>
  <si>
    <t>שינוי אחיד במחירי המכירה מול שינוי בעלויות הבנייה. התא המסומן הוא תרחיש הבסיס.</t>
  </si>
  <si>
    <t>שינוי בעלויות הבנייה ↓ / שינוי במחירי המכירה →</t>
  </si>
  <si>
    <t>ירוק = רווח בריא · צהוב = גבולי · אדום = הפסד. הצביעה מתבצעת בעיצוב מותנה.</t>
  </si>
  <si>
    <t>הערה: אם הוזנו מחירים ידניים בגיליון הדירות, גם הם משתנים בתרחישים אלה.</t>
  </si>
  <si>
    <t>בדיקת שווי הקרקע בגישת החילוץ</t>
  </si>
  <si>
    <t>חילוץ שווי הקרקע המרבי שניתן לשלם בהינתן דרישת רווח יזמי.</t>
  </si>
  <si>
    <t>סה״כ שווי מכירות ללא מע״מ</t>
  </si>
  <si>
    <t>בניכוי רווח יזמי נדרש</t>
  </si>
  <si>
    <t>השיעור נקבע בגיליון ההנחות</t>
  </si>
  <si>
    <t>יתרה זמינה לעלויות ולקרקע</t>
  </si>
  <si>
    <t>בניכוי עלויות בנייה ישירות</t>
  </si>
  <si>
    <t>בניכוי עלויות עקיפות ופיתוח</t>
  </si>
  <si>
    <t>יתרה לרכישת הקרקע (כולל מסים והיטלים)</t>
  </si>
  <si>
    <t>בניכוי היטל השבחה ומסי ועדה</t>
  </si>
  <si>
    <t>סכום קבוע שאינו חייב במס רכישה</t>
  </si>
  <si>
    <t>בניכוי עלויות נלוות לרכישה</t>
  </si>
  <si>
    <t>יתרה לקרקע כולל מס רכישה</t>
  </si>
  <si>
    <t>שווי קרקע מחולץ נטו</t>
  </si>
  <si>
    <t>לאחר גילום מס הרכישה</t>
  </si>
  <si>
    <t>עלות הקרקע בפועל בתחשיב</t>
  </si>
  <si>
    <t>פער מול המחיר בפועל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</si>
</sst>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\(#,##0\);\-"/>
    <numFmt numFmtId="166" formatCode="0.00&quot;×&quot;"/>
    <numFmt numFmtId="167" formatCode="#,##0.00;\(#,##0.00\);\-"/>
    <numFmt numFmtId="168" formatCode="\+0.0%;\-0.0%;0.0%"/>
  </numFmts>
  <fonts count="12" x14ac:knownFonts="1">
    <font>
      <sz val="11"/>
      <color theme="1"/>
      <name val="Arial"/>
      <family val="2"/>
      <scheme val="minor"/>
    </font>
    <font>
      <b/>
      <sz val="14"/>
      <color rgb="FF0E4C7E"/>
      <name val="Arial"/>
    </font>
    <font>
      <i/>
      <sz val="9"/>
      <color rgb="FF6F7C8C"/>
      <name val="Arial"/>
    </font>
    <font>
      <b/>
      <sz val="11"/>
      <color rgb="FF0E4C7E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0E4C7E"/>
      <name val="Arial"/>
    </font>
  </fonts>
  <fills count="9">
    <fill>
      <patternFill patternType="none"/>
    </fill>
    <fill>
      <patternFill patternType="gray125"/>
    </fill>
    <fill>
      <patternFill patternType="solid">
        <fgColor rgb="FFFBF0D8"/>
      </patternFill>
    </fill>
    <fill>
      <patternFill patternType="solid">
        <fgColor rgb="FFE9EDF2"/>
      </patternFill>
    </fill>
    <fill>
      <patternFill patternType="solid">
        <fgColor rgb="FF0E4C7E"/>
      </patternFill>
    </fill>
    <fill>
      <patternFill patternType="solid">
        <fgColor rgb="FFF6F8FA"/>
      </patternFill>
    </fill>
    <fill>
      <patternFill patternType="solid">
        <fgColor rgb="FFFFFEF7"/>
      </patternFill>
    </fill>
    <fill>
      <patternFill patternType="solid">
        <fgColor rgb="FFE1F1EA"/>
      </patternFill>
    </fill>
    <fill>
      <patternFill patternType="solid">
        <fgColor rgb="FF0A3C66"/>
      </patternFill>
    </fill>
  </fills>
  <borders count="4">
    <border>
      <left/>
      <right/>
      <top/>
      <bottom/>
      <diagonal/>
    </border>
    <border>
      <left style="thin">
        <color rgb="FFC3CCD7"/>
      </left>
      <right style="thin">
        <color rgb="FFC3CCD7"/>
      </right>
      <top style="thin">
        <color rgb="FFC3CCD7"/>
      </top>
      <bottom style="thin">
        <color rgb="FFC3CCD7"/>
      </bottom>
      <diagonal/>
    </border>
    <border>
      <left/>
      <right/>
      <top style="medium">
        <color rgb="FF0E4C7E"/>
      </top>
      <bottom/>
      <diagonal/>
    </border>
    <border>
      <left style="medium">
        <color rgb="FF0E4C7E"/>
      </left>
      <right style="medium">
        <color rgb="FF0E4C7E"/>
      </right>
      <top style="medium">
        <color rgb="FF0E4C7E"/>
      </top>
      <bottom style="medium">
        <color rgb="FF0E4C7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1" xfId="0" applyNumberFormat="1" applyFont="1" applyFill="1" applyBorder="1"/>
    <xf numFmtId="3" fontId="5" fillId="0" borderId="1" xfId="0" applyNumberFormat="1" applyFont="1" applyBorder="1"/>
    <xf numFmtId="0" fontId="6" fillId="0" borderId="0" xfId="0" applyFont="1"/>
    <xf numFmtId="3" fontId="4" fillId="3" borderId="1" xfId="0" applyNumberFormat="1" applyFont="1" applyFill="1" applyBorder="1"/>
    <xf numFmtId="3" fontId="7" fillId="3" borderId="1" xfId="0" applyNumberFormat="1" applyFont="1" applyFill="1" applyBorder="1"/>
    <xf numFmtId="165" fontId="5" fillId="0" borderId="1" xfId="0" applyNumberFormat="1" applyFont="1" applyBorder="1"/>
    <xf numFmtId="164" fontId="5" fillId="0" borderId="1" xfId="0" applyNumberFormat="1" applyFont="1" applyBorder="1"/>
    <xf numFmtId="166" fontId="5" fillId="2" borderId="1" xfId="0" applyNumberFormat="1" applyFont="1" applyFill="1" applyBorder="1"/>
    <xf numFmtId="4" fontId="5" fillId="0" borderId="1" xfId="0" applyNumberFormat="1" applyFont="1" applyBorder="1"/>
    <xf numFmtId="166" fontId="5" fillId="0" borderId="1" xfId="0" applyNumberFormat="1" applyFont="1" applyBorder="1"/>
    <xf numFmtId="165" fontId="5" fillId="2" borderId="1" xfId="0" applyNumberFormat="1" applyFont="1" applyFill="1" applyBorder="1"/>
    <xf numFmtId="0" fontId="8" fillId="4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4" fillId="5" borderId="1" xfId="0" applyNumberFormat="1" applyFont="1" applyFill="1" applyBorder="1"/>
    <xf numFmtId="165" fontId="4" fillId="0" borderId="1" xfId="0" applyNumberFormat="1" applyFont="1" applyBorder="1"/>
    <xf numFmtId="165" fontId="6" fillId="3" borderId="1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 vertical="center"/>
    </xf>
    <xf numFmtId="4" fontId="6" fillId="3" borderId="2" xfId="0" applyNumberFormat="1" applyFont="1" applyFill="1" applyBorder="1"/>
    <xf numFmtId="165" fontId="6" fillId="3" borderId="2" xfId="0" applyNumberFormat="1" applyFont="1" applyFill="1" applyBorder="1"/>
    <xf numFmtId="0" fontId="4" fillId="0" borderId="1" xfId="0" applyFont="1" applyBorder="1"/>
    <xf numFmtId="4" fontId="7" fillId="0" borderId="1" xfId="0" applyNumberFormat="1" applyFont="1" applyBorder="1"/>
    <xf numFmtId="165" fontId="7" fillId="0" borderId="1" xfId="0" applyNumberFormat="1" applyFont="1" applyBorder="1"/>
    <xf numFmtId="164" fontId="4" fillId="0" borderId="1" xfId="0" applyNumberFormat="1" applyFont="1" applyBorder="1"/>
    <xf numFmtId="164" fontId="6" fillId="3" borderId="2" xfId="0" applyNumberFormat="1" applyFont="1" applyFill="1" applyBorder="1"/>
    <xf numFmtId="167" fontId="7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10" fontId="7" fillId="0" borderId="1" xfId="0" applyNumberFormat="1" applyFont="1" applyBorder="1"/>
    <xf numFmtId="165" fontId="4" fillId="5" borderId="1" xfId="0" applyNumberFormat="1" applyFont="1" applyFill="1" applyBorder="1"/>
    <xf numFmtId="164" fontId="7" fillId="0" borderId="1" xfId="0" applyNumberFormat="1" applyFont="1" applyBorder="1"/>
    <xf numFmtId="0" fontId="9" fillId="4" borderId="1" xfId="0" applyFont="1" applyFill="1" applyBorder="1"/>
    <xf numFmtId="0" fontId="8" fillId="4" borderId="1" xfId="0" applyFont="1" applyFill="1" applyBorder="1"/>
    <xf numFmtId="165" fontId="9" fillId="4" borderId="1" xfId="0" applyNumberFormat="1" applyFont="1" applyFill="1" applyBorder="1"/>
    <xf numFmtId="3" fontId="7" fillId="0" borderId="1" xfId="0" applyNumberFormat="1" applyFont="1" applyBorder="1"/>
    <xf numFmtId="165" fontId="4" fillId="3" borderId="1" xfId="0" applyNumberFormat="1" applyFont="1" applyFill="1" applyBorder="1"/>
    <xf numFmtId="164" fontId="6" fillId="0" borderId="2" xfId="0" applyNumberFormat="1" applyFont="1" applyBorder="1"/>
    <xf numFmtId="0" fontId="10" fillId="4" borderId="1" xfId="0" applyFont="1" applyFill="1" applyBorder="1"/>
    <xf numFmtId="165" fontId="10" fillId="4" borderId="1" xfId="0" applyNumberFormat="1" applyFont="1" applyFill="1" applyBorder="1"/>
    <xf numFmtId="164" fontId="10" fillId="4" borderId="1" xfId="0" applyNumberFormat="1" applyFont="1" applyFill="1" applyBorder="1"/>
    <xf numFmtId="164" fontId="4" fillId="5" borderId="1" xfId="0" applyNumberFormat="1" applyFont="1" applyFill="1" applyBorder="1"/>
    <xf numFmtId="166" fontId="4" fillId="0" borderId="1" xfId="0" applyNumberFormat="1" applyFont="1" applyBorder="1"/>
    <xf numFmtId="164" fontId="6" fillId="7" borderId="1" xfId="0" applyNumberFormat="1" applyFont="1" applyFill="1" applyBorder="1"/>
    <xf numFmtId="0" fontId="6" fillId="0" borderId="1" xfId="0" applyFont="1" applyBorder="1"/>
    <xf numFmtId="164" fontId="5" fillId="2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/>
    <xf numFmtId="165" fontId="6" fillId="5" borderId="2" xfId="0" applyNumberFormat="1" applyFont="1" applyFill="1" applyBorder="1"/>
    <xf numFmtId="165" fontId="8" fillId="4" borderId="1" xfId="0" applyNumberFormat="1" applyFont="1" applyFill="1" applyBorder="1"/>
    <xf numFmtId="165" fontId="6" fillId="0" borderId="1" xfId="0" applyNumberFormat="1" applyFont="1" applyBorder="1"/>
    <xf numFmtId="165" fontId="6" fillId="7" borderId="1" xfId="0" applyNumberFormat="1" applyFont="1" applyFill="1" applyBorder="1"/>
    <xf numFmtId="165" fontId="7" fillId="5" borderId="1" xfId="0" applyNumberFormat="1" applyFont="1" applyFill="1" applyBorder="1"/>
    <xf numFmtId="168" fontId="8" fillId="4" borderId="1" xfId="0" applyNumberFormat="1" applyFont="1" applyFill="1" applyBorder="1" applyAlignment="1">
      <alignment horizontal="center" vertical="center"/>
    </xf>
    <xf numFmtId="168" fontId="8" fillId="8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0"/>
        <color rgb="FF0B6B4F"/>
        <name val="Arial"/>
      </font>
      <fill>
        <patternFill patternType="solid">
          <fgColor rgb="FFE1F1EA"/>
        </patternFill>
      </fill>
    </dxf>
    <dxf>
      <font>
        <sz val="10"/>
        <color rgb="FF9A6A00"/>
        <name val="Arial"/>
      </font>
      <fill>
        <patternFill patternType="solid">
          <fgColor rgb="FFFBF0D8"/>
        </patternFill>
      </fill>
    </dxf>
    <dxf>
      <font>
        <sz val="10"/>
        <color rgb="FFA3352A"/>
        <name val="Arial"/>
      </font>
      <fill>
        <patternFill patternType="solid">
          <fgColor rgb="FFF7E7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showGridLines="0" rightToLeft="1" tabSelected="1" workbookViewId="0"/>
  </sheetViews>
  <sheetFormatPr defaultRowHeight="14.25" x14ac:dyDescent="0.2"/>
  <cols>
    <col min="1" max="1" width="38" customWidth="1"/>
    <col min="2" max="2" width="2" customWidth="1"/>
    <col min="3" max="3" width="15" customWidth="1"/>
    <col min="4" max="4" width="3" customWidth="1"/>
    <col min="5" max="5" width="30" customWidth="1"/>
  </cols>
  <sheetData>
    <row r="1" spans="1:5" ht="18" x14ac:dyDescent="0.25">
      <c r="A1" s="1" t="s">
        <v>0</v>
      </c>
    </row>
    <row r="2" spans="1:5" x14ac:dyDescent="0.2">
      <c r="A2" s="2" t="s">
        <v>1</v>
      </c>
    </row>
    <row r="3" spans="1:5" x14ac:dyDescent="0.2">
      <c r="A3" s="2" t="s">
        <v>2</v>
      </c>
    </row>
    <row r="5" spans="1:5" ht="15" x14ac:dyDescent="0.25">
      <c r="A5" s="3" t="s">
        <v>3</v>
      </c>
    </row>
    <row r="6" spans="1:5" x14ac:dyDescent="0.2">
      <c r="A6" s="4" t="s">
        <v>4</v>
      </c>
      <c r="C6" s="5">
        <v>0.18</v>
      </c>
      <c r="E6" s="2" t="s">
        <v>5</v>
      </c>
    </row>
    <row r="7" spans="1:5" x14ac:dyDescent="0.2">
      <c r="A7" s="4" t="s">
        <v>6</v>
      </c>
      <c r="C7" s="6">
        <v>6</v>
      </c>
    </row>
    <row r="8" spans="1:5" x14ac:dyDescent="0.2">
      <c r="A8" s="4" t="s">
        <v>7</v>
      </c>
      <c r="C8" s="6">
        <v>24</v>
      </c>
    </row>
    <row r="9" spans="1:5" x14ac:dyDescent="0.2">
      <c r="A9" s="4" t="s">
        <v>8</v>
      </c>
      <c r="C9" s="6">
        <v>3</v>
      </c>
    </row>
    <row r="10" spans="1:5" x14ac:dyDescent="0.2">
      <c r="A10" s="7" t="s">
        <v>9</v>
      </c>
      <c r="C10" s="8">
        <f>SUM(C7:C9)</f>
        <v>33</v>
      </c>
    </row>
    <row r="11" spans="1:5" x14ac:dyDescent="0.2">
      <c r="A11" s="7" t="s">
        <v>10</v>
      </c>
      <c r="C11" s="9">
        <f>COUNT(דירות!A5:A34)</f>
        <v>18</v>
      </c>
    </row>
    <row r="13" spans="1:5" ht="15" x14ac:dyDescent="0.25">
      <c r="A13" s="3" t="s">
        <v>11</v>
      </c>
    </row>
    <row r="14" spans="1:5" x14ac:dyDescent="0.2">
      <c r="A14" s="4" t="s">
        <v>12</v>
      </c>
      <c r="C14" s="10">
        <v>25000</v>
      </c>
      <c r="E14" s="2" t="s">
        <v>13</v>
      </c>
    </row>
    <row r="15" spans="1:5" x14ac:dyDescent="0.2">
      <c r="A15" s="4" t="s">
        <v>14</v>
      </c>
      <c r="C15" s="10">
        <v>27000</v>
      </c>
    </row>
    <row r="16" spans="1:5" x14ac:dyDescent="0.2">
      <c r="A16" s="4" t="s">
        <v>15</v>
      </c>
      <c r="C16" s="10">
        <v>35000</v>
      </c>
    </row>
    <row r="17" spans="1:5" x14ac:dyDescent="0.2">
      <c r="A17" s="4" t="s">
        <v>16</v>
      </c>
      <c r="C17" s="11">
        <v>0.33</v>
      </c>
      <c r="E17" s="2" t="s">
        <v>17</v>
      </c>
    </row>
    <row r="18" spans="1:5" x14ac:dyDescent="0.2">
      <c r="A18" s="4" t="s">
        <v>18</v>
      </c>
      <c r="C18" s="11">
        <v>0.25</v>
      </c>
    </row>
    <row r="19" spans="1:5" x14ac:dyDescent="0.2">
      <c r="A19" s="4" t="s">
        <v>19</v>
      </c>
      <c r="C19" s="12">
        <v>1</v>
      </c>
      <c r="E19" s="2" t="s">
        <v>20</v>
      </c>
    </row>
    <row r="21" spans="1:5" ht="15" x14ac:dyDescent="0.25">
      <c r="A21" s="3" t="s">
        <v>21</v>
      </c>
    </row>
    <row r="22" spans="1:5" x14ac:dyDescent="0.2">
      <c r="A22" s="4" t="s">
        <v>22</v>
      </c>
      <c r="C22" s="13">
        <v>290.05</v>
      </c>
      <c r="E22" s="2" t="s">
        <v>23</v>
      </c>
    </row>
    <row r="23" spans="1:5" x14ac:dyDescent="0.2">
      <c r="A23" s="4" t="s">
        <v>24</v>
      </c>
      <c r="C23" s="13">
        <v>283.64</v>
      </c>
    </row>
    <row r="24" spans="1:5" x14ac:dyDescent="0.2">
      <c r="A24" s="4" t="s">
        <v>25</v>
      </c>
      <c r="C24" s="13">
        <v>0</v>
      </c>
    </row>
    <row r="25" spans="1:5" x14ac:dyDescent="0.2">
      <c r="A25" s="4" t="s">
        <v>26</v>
      </c>
      <c r="C25" s="14">
        <v>1</v>
      </c>
      <c r="E25" s="2" t="s">
        <v>27</v>
      </c>
    </row>
    <row r="27" spans="1:5" ht="15" x14ac:dyDescent="0.25">
      <c r="A27" s="3" t="s">
        <v>28</v>
      </c>
    </row>
    <row r="28" spans="1:5" x14ac:dyDescent="0.2">
      <c r="A28" s="4" t="s">
        <v>29</v>
      </c>
      <c r="C28" s="10">
        <v>8000</v>
      </c>
    </row>
    <row r="29" spans="1:5" x14ac:dyDescent="0.2">
      <c r="A29" s="4" t="s">
        <v>30</v>
      </c>
      <c r="C29" s="10">
        <v>3500</v>
      </c>
    </row>
    <row r="30" spans="1:5" x14ac:dyDescent="0.2">
      <c r="A30" s="4" t="s">
        <v>31</v>
      </c>
      <c r="C30" s="10">
        <v>1500</v>
      </c>
    </row>
    <row r="31" spans="1:5" x14ac:dyDescent="0.2">
      <c r="A31" s="4" t="s">
        <v>32</v>
      </c>
      <c r="C31" s="10">
        <v>5500</v>
      </c>
    </row>
    <row r="32" spans="1:5" x14ac:dyDescent="0.2">
      <c r="A32" s="4" t="s">
        <v>24</v>
      </c>
      <c r="C32" s="10">
        <v>5500</v>
      </c>
    </row>
    <row r="34" spans="1:5" ht="15" x14ac:dyDescent="0.25">
      <c r="A34" s="3" t="s">
        <v>33</v>
      </c>
    </row>
    <row r="35" spans="1:5" x14ac:dyDescent="0.2">
      <c r="A35" s="4" t="s">
        <v>34</v>
      </c>
      <c r="C35" s="10">
        <v>550</v>
      </c>
    </row>
    <row r="36" spans="1:5" x14ac:dyDescent="0.2">
      <c r="A36" s="4" t="s">
        <v>35</v>
      </c>
      <c r="C36" s="11">
        <v>0.03</v>
      </c>
      <c r="E36" s="2" t="s">
        <v>36</v>
      </c>
    </row>
    <row r="37" spans="1:5" x14ac:dyDescent="0.2">
      <c r="A37" s="4" t="s">
        <v>37</v>
      </c>
      <c r="C37" s="11">
        <v>1.4999999999999999E-2</v>
      </c>
      <c r="E37" s="2" t="s">
        <v>38</v>
      </c>
    </row>
    <row r="38" spans="1:5" x14ac:dyDescent="0.2">
      <c r="A38" s="4" t="s">
        <v>39</v>
      </c>
      <c r="C38" s="11">
        <v>1.4999999999999999E-2</v>
      </c>
      <c r="E38" s="2" t="s">
        <v>38</v>
      </c>
    </row>
    <row r="39" spans="1:5" x14ac:dyDescent="0.2">
      <c r="A39" s="4" t="s">
        <v>40</v>
      </c>
      <c r="C39" s="11">
        <v>0.04</v>
      </c>
      <c r="E39" s="2" t="s">
        <v>36</v>
      </c>
    </row>
    <row r="40" spans="1:5" x14ac:dyDescent="0.2">
      <c r="A40" s="4" t="s">
        <v>41</v>
      </c>
      <c r="C40" s="11">
        <v>0.03</v>
      </c>
      <c r="E40" s="2" t="s">
        <v>36</v>
      </c>
    </row>
    <row r="41" spans="1:5" x14ac:dyDescent="0.2">
      <c r="A41" s="4" t="s">
        <v>42</v>
      </c>
      <c r="C41" s="13">
        <v>2</v>
      </c>
    </row>
    <row r="42" spans="1:5" x14ac:dyDescent="0.2">
      <c r="A42" s="4" t="s">
        <v>43</v>
      </c>
      <c r="C42" s="10">
        <v>3500</v>
      </c>
    </row>
    <row r="43" spans="1:5" x14ac:dyDescent="0.2">
      <c r="A43" s="4" t="s">
        <v>44</v>
      </c>
      <c r="C43" s="11">
        <v>8.0000000000000002E-3</v>
      </c>
      <c r="E43" s="2" t="s">
        <v>36</v>
      </c>
    </row>
    <row r="44" spans="1:5" x14ac:dyDescent="0.2">
      <c r="A44" s="4" t="s">
        <v>45</v>
      </c>
      <c r="C44" s="11">
        <v>8.0000000000000002E-3</v>
      </c>
      <c r="E44" s="2" t="s">
        <v>46</v>
      </c>
    </row>
    <row r="45" spans="1:5" x14ac:dyDescent="0.2">
      <c r="A45" s="4" t="s">
        <v>47</v>
      </c>
      <c r="C45" s="11">
        <v>0.05</v>
      </c>
      <c r="E45" s="2" t="s">
        <v>36</v>
      </c>
    </row>
    <row r="46" spans="1:5" x14ac:dyDescent="0.2">
      <c r="A46" s="4" t="s">
        <v>48</v>
      </c>
      <c r="C46" s="10">
        <v>0</v>
      </c>
    </row>
    <row r="47" spans="1:5" x14ac:dyDescent="0.2">
      <c r="A47" s="4" t="s">
        <v>49</v>
      </c>
      <c r="C47" s="10">
        <v>0</v>
      </c>
    </row>
    <row r="49" spans="1:5" ht="15" x14ac:dyDescent="0.25">
      <c r="A49" s="3" t="s">
        <v>50</v>
      </c>
    </row>
    <row r="50" spans="1:5" x14ac:dyDescent="0.2">
      <c r="A50" s="4" t="s">
        <v>51</v>
      </c>
      <c r="C50" s="15">
        <v>8500000</v>
      </c>
    </row>
    <row r="51" spans="1:5" x14ac:dyDescent="0.2">
      <c r="A51" s="4" t="s">
        <v>52</v>
      </c>
      <c r="C51" s="11">
        <v>0.06</v>
      </c>
    </row>
    <row r="52" spans="1:5" x14ac:dyDescent="0.2">
      <c r="A52" s="4" t="s">
        <v>53</v>
      </c>
      <c r="C52" s="10">
        <v>250000</v>
      </c>
    </row>
    <row r="53" spans="1:5" x14ac:dyDescent="0.2">
      <c r="A53" s="4" t="s">
        <v>54</v>
      </c>
      <c r="C53" s="10">
        <v>0</v>
      </c>
    </row>
    <row r="55" spans="1:5" ht="15" x14ac:dyDescent="0.25">
      <c r="A55" s="3" t="s">
        <v>55</v>
      </c>
    </row>
    <row r="56" spans="1:5" x14ac:dyDescent="0.2">
      <c r="A56" s="4" t="s">
        <v>56</v>
      </c>
      <c r="C56" s="11">
        <v>0.25</v>
      </c>
      <c r="E56" s="2" t="s">
        <v>57</v>
      </c>
    </row>
    <row r="57" spans="1:5" x14ac:dyDescent="0.2">
      <c r="A57" s="4" t="s">
        <v>58</v>
      </c>
      <c r="C57" s="11">
        <v>6.5000000000000002E-2</v>
      </c>
    </row>
    <row r="58" spans="1:5" x14ac:dyDescent="0.2">
      <c r="A58" s="4" t="s">
        <v>59</v>
      </c>
      <c r="C58" s="11">
        <v>0.35</v>
      </c>
      <c r="E58" s="2" t="s">
        <v>60</v>
      </c>
    </row>
    <row r="60" spans="1:5" ht="15" x14ac:dyDescent="0.25">
      <c r="A60" s="3" t="s">
        <v>61</v>
      </c>
    </row>
    <row r="61" spans="1:5" x14ac:dyDescent="0.2">
      <c r="A61" s="4" t="s">
        <v>62</v>
      </c>
      <c r="C61" s="5">
        <v>0.2</v>
      </c>
      <c r="E61" s="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"/>
  <sheetViews>
    <sheetView showGridLines="0" rightToLeft="1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8" customWidth="1"/>
    <col min="2" max="2" width="9" customWidth="1"/>
    <col min="3" max="3" width="10" customWidth="1"/>
    <col min="4" max="4" width="13" customWidth="1"/>
    <col min="5" max="5" width="10" customWidth="1"/>
    <col min="6" max="7" width="11" customWidth="1"/>
    <col min="8" max="9" width="9" customWidth="1"/>
    <col min="10" max="10" width="12" customWidth="1"/>
    <col min="11" max="11" width="11" customWidth="1"/>
    <col min="12" max="12" width="14" customWidth="1"/>
    <col min="13" max="13" width="13" customWidth="1"/>
    <col min="14" max="14" width="11" customWidth="1"/>
    <col min="15" max="15" width="12" customWidth="1"/>
    <col min="16" max="16" width="10" customWidth="1"/>
    <col min="17" max="17" width="12" customWidth="1"/>
    <col min="18" max="19" width="15" customWidth="1"/>
  </cols>
  <sheetData>
    <row r="1" spans="1:19" ht="18" x14ac:dyDescent="0.25">
      <c r="A1" s="1" t="s">
        <v>64</v>
      </c>
    </row>
    <row r="2" spans="1:19" x14ac:dyDescent="0.2">
      <c r="A2" s="2" t="s">
        <v>65</v>
      </c>
    </row>
    <row r="4" spans="1:19" ht="30" customHeight="1" x14ac:dyDescent="0.2">
      <c r="A4" s="16" t="s">
        <v>66</v>
      </c>
      <c r="B4" s="16" t="s">
        <v>67</v>
      </c>
      <c r="C4" s="16" t="s">
        <v>68</v>
      </c>
      <c r="D4" s="16" t="s">
        <v>69</v>
      </c>
      <c r="E4" s="16" t="s">
        <v>70</v>
      </c>
      <c r="F4" s="16" t="s">
        <v>71</v>
      </c>
      <c r="G4" s="16" t="s">
        <v>72</v>
      </c>
      <c r="H4" s="16" t="s">
        <v>73</v>
      </c>
      <c r="I4" s="16" t="s">
        <v>74</v>
      </c>
      <c r="J4" s="16" t="s">
        <v>75</v>
      </c>
      <c r="K4" s="16" t="s">
        <v>76</v>
      </c>
      <c r="L4" s="16" t="s">
        <v>77</v>
      </c>
      <c r="M4" s="16" t="s">
        <v>78</v>
      </c>
      <c r="N4" s="16" t="s">
        <v>79</v>
      </c>
      <c r="O4" s="16" t="s">
        <v>80</v>
      </c>
      <c r="P4" s="16" t="s">
        <v>81</v>
      </c>
      <c r="Q4" s="16" t="s">
        <v>82</v>
      </c>
      <c r="R4" s="16" t="s">
        <v>83</v>
      </c>
      <c r="S4" s="16" t="s">
        <v>84</v>
      </c>
    </row>
    <row r="5" spans="1:19" x14ac:dyDescent="0.2">
      <c r="A5" s="17">
        <f>IF($E5="","",COUNT($E$5:$E5))</f>
        <v>1</v>
      </c>
      <c r="B5" s="18" t="s">
        <v>85</v>
      </c>
      <c r="C5" s="18" t="s">
        <v>86</v>
      </c>
      <c r="D5" s="18" t="s">
        <v>14</v>
      </c>
      <c r="E5" s="13">
        <v>91.71</v>
      </c>
      <c r="F5" s="13">
        <v>11.37</v>
      </c>
      <c r="G5" s="13">
        <v>18.559999999999999</v>
      </c>
      <c r="H5" s="13"/>
      <c r="I5" s="13">
        <v>129.5</v>
      </c>
      <c r="J5" s="19">
        <f t="shared" ref="J5:J34" si="0">IF($E5="","",E5+F5)</f>
        <v>103.08</v>
      </c>
      <c r="K5" s="20">
        <f>IF($E5="","",IF($D5=הנחות!$A$15,הנחות!$C$15,IF($D5=הנחות!$A$16,הנחות!$C$16,הנחות!$C$14))*הנחות!$C$19)</f>
        <v>27000</v>
      </c>
      <c r="L5" s="20">
        <f t="shared" ref="L5:L34" si="1">IF($E5="","",J5*K5)</f>
        <v>2783160</v>
      </c>
      <c r="M5" s="20">
        <f t="shared" ref="M5:M34" si="2">IF($E5="","",G5*K5)</f>
        <v>501119.99999999994</v>
      </c>
      <c r="N5" s="20">
        <f>IF($E5="","",IF($D5=הנחות!$A$16,הנחות!$C$16,הנחות!$C$14)*הנחות!$C$19*הנחות!$C$17)</f>
        <v>8250</v>
      </c>
      <c r="O5" s="20">
        <f t="shared" ref="O5:O34" si="3">IF($E5="","",H5*N5)</f>
        <v>0</v>
      </c>
      <c r="P5" s="20">
        <f>IF($E5="","",הנחות!$C$15*הנחות!$C$19*הנחות!$C$18)</f>
        <v>6750</v>
      </c>
      <c r="Q5" s="20">
        <f t="shared" ref="Q5:Q34" si="4">IF($E5="","",I5*P5)</f>
        <v>874125</v>
      </c>
      <c r="R5" s="21">
        <f t="shared" ref="R5:R34" si="5">IF($E5="","",L5+M5+O5+Q5)</f>
        <v>4158405</v>
      </c>
      <c r="S5" s="20">
        <f>IF($E5="","",R5/(1+הנחות!$C$6))</f>
        <v>3524072.0338983051</v>
      </c>
    </row>
    <row r="6" spans="1:19" x14ac:dyDescent="0.2">
      <c r="A6" s="17">
        <f>IF($E6="","",COUNT($E$5:$E6))</f>
        <v>2</v>
      </c>
      <c r="B6" s="18" t="s">
        <v>85</v>
      </c>
      <c r="C6" s="18" t="s">
        <v>87</v>
      </c>
      <c r="D6" s="18" t="s">
        <v>14</v>
      </c>
      <c r="E6" s="13">
        <v>95.27</v>
      </c>
      <c r="F6" s="13">
        <v>13.7</v>
      </c>
      <c r="G6" s="13">
        <v>26.63</v>
      </c>
      <c r="H6" s="13"/>
      <c r="I6" s="13">
        <v>101.8</v>
      </c>
      <c r="J6" s="19">
        <f t="shared" si="0"/>
        <v>108.97</v>
      </c>
      <c r="K6" s="20">
        <f>IF($E6="","",IF($D6=הנחות!$A$15,הנחות!$C$15,IF($D6=הנחות!$A$16,הנחות!$C$16,הנחות!$C$14))*הנחות!$C$19)</f>
        <v>27000</v>
      </c>
      <c r="L6" s="20">
        <f t="shared" si="1"/>
        <v>2942190</v>
      </c>
      <c r="M6" s="20">
        <f t="shared" si="2"/>
        <v>719010</v>
      </c>
      <c r="N6" s="20">
        <f>IF($E6="","",IF($D6=הנחות!$A$16,הנחות!$C$16,הנחות!$C$14)*הנחות!$C$19*הנחות!$C$17)</f>
        <v>8250</v>
      </c>
      <c r="O6" s="20">
        <f t="shared" si="3"/>
        <v>0</v>
      </c>
      <c r="P6" s="20">
        <f>IF($E6="","",הנחות!$C$15*הנחות!$C$19*הנחות!$C$18)</f>
        <v>6750</v>
      </c>
      <c r="Q6" s="20">
        <f t="shared" si="4"/>
        <v>687150</v>
      </c>
      <c r="R6" s="21">
        <f t="shared" si="5"/>
        <v>4348350</v>
      </c>
      <c r="S6" s="20">
        <f>IF($E6="","",R6/(1+הנחות!$C$6))</f>
        <v>3685042.3728813562</v>
      </c>
    </row>
    <row r="7" spans="1:19" x14ac:dyDescent="0.2">
      <c r="A7" s="17">
        <f>IF($E7="","",COUNT($E$5:$E7))</f>
        <v>3</v>
      </c>
      <c r="B7" s="18" t="s">
        <v>88</v>
      </c>
      <c r="C7" s="18" t="s">
        <v>86</v>
      </c>
      <c r="D7" s="18" t="s">
        <v>12</v>
      </c>
      <c r="E7" s="13">
        <v>91.71</v>
      </c>
      <c r="F7" s="13">
        <v>11.37</v>
      </c>
      <c r="G7" s="13"/>
      <c r="H7" s="13">
        <v>22.5</v>
      </c>
      <c r="I7" s="13"/>
      <c r="J7" s="19">
        <f t="shared" si="0"/>
        <v>103.08</v>
      </c>
      <c r="K7" s="20">
        <f>IF($E7="","",IF($D7=הנחות!$A$15,הנחות!$C$15,IF($D7=הנחות!$A$16,הנחות!$C$16,הנחות!$C$14))*הנחות!$C$19)</f>
        <v>25000</v>
      </c>
      <c r="L7" s="20">
        <f t="shared" si="1"/>
        <v>2577000</v>
      </c>
      <c r="M7" s="20">
        <f t="shared" si="2"/>
        <v>0</v>
      </c>
      <c r="N7" s="20">
        <f>IF($E7="","",IF($D7=הנחות!$A$16,הנחות!$C$16,הנחות!$C$14)*הנחות!$C$19*הנחות!$C$17)</f>
        <v>8250</v>
      </c>
      <c r="O7" s="20">
        <f t="shared" si="3"/>
        <v>185625</v>
      </c>
      <c r="P7" s="20">
        <f>IF($E7="","",הנחות!$C$15*הנחות!$C$19*הנחות!$C$18)</f>
        <v>6750</v>
      </c>
      <c r="Q7" s="20">
        <f t="shared" si="4"/>
        <v>0</v>
      </c>
      <c r="R7" s="21">
        <f t="shared" si="5"/>
        <v>2762625</v>
      </c>
      <c r="S7" s="20">
        <f>IF($E7="","",R7/(1+הנחות!$C$6))</f>
        <v>2341207.6271186443</v>
      </c>
    </row>
    <row r="8" spans="1:19" x14ac:dyDescent="0.2">
      <c r="A8" s="17">
        <f>IF($E8="","",COUNT($E$5:$E8))</f>
        <v>4</v>
      </c>
      <c r="B8" s="18" t="s">
        <v>88</v>
      </c>
      <c r="C8" s="18" t="s">
        <v>87</v>
      </c>
      <c r="D8" s="18" t="s">
        <v>12</v>
      </c>
      <c r="E8" s="13">
        <v>95.27</v>
      </c>
      <c r="F8" s="13">
        <v>13.7</v>
      </c>
      <c r="G8" s="13"/>
      <c r="H8" s="13">
        <v>21</v>
      </c>
      <c r="I8" s="13"/>
      <c r="J8" s="19">
        <f t="shared" si="0"/>
        <v>108.97</v>
      </c>
      <c r="K8" s="20">
        <f>IF($E8="","",IF($D8=הנחות!$A$15,הנחות!$C$15,IF($D8=הנחות!$A$16,הנחות!$C$16,הנחות!$C$14))*הנחות!$C$19)</f>
        <v>25000</v>
      </c>
      <c r="L8" s="20">
        <f t="shared" si="1"/>
        <v>2724250</v>
      </c>
      <c r="M8" s="20">
        <f t="shared" si="2"/>
        <v>0</v>
      </c>
      <c r="N8" s="20">
        <f>IF($E8="","",IF($D8=הנחות!$A$16,הנחות!$C$16,הנחות!$C$14)*הנחות!$C$19*הנחות!$C$17)</f>
        <v>8250</v>
      </c>
      <c r="O8" s="20">
        <f t="shared" si="3"/>
        <v>173250</v>
      </c>
      <c r="P8" s="20">
        <f>IF($E8="","",הנחות!$C$15*הנחות!$C$19*הנחות!$C$18)</f>
        <v>6750</v>
      </c>
      <c r="Q8" s="20">
        <f t="shared" si="4"/>
        <v>0</v>
      </c>
      <c r="R8" s="21">
        <f t="shared" si="5"/>
        <v>2897500</v>
      </c>
      <c r="S8" s="20">
        <f>IF($E8="","",R8/(1+הנחות!$C$6))</f>
        <v>2455508.4745762711</v>
      </c>
    </row>
    <row r="9" spans="1:19" x14ac:dyDescent="0.2">
      <c r="A9" s="17">
        <f>IF($E9="","",COUNT($E$5:$E9))</f>
        <v>5</v>
      </c>
      <c r="B9" s="18" t="s">
        <v>89</v>
      </c>
      <c r="C9" s="18" t="s">
        <v>86</v>
      </c>
      <c r="D9" s="18" t="s">
        <v>12</v>
      </c>
      <c r="E9" s="13">
        <v>91.71</v>
      </c>
      <c r="F9" s="13">
        <v>11.37</v>
      </c>
      <c r="G9" s="13"/>
      <c r="H9" s="13">
        <v>7.1</v>
      </c>
      <c r="I9" s="13"/>
      <c r="J9" s="19">
        <f t="shared" si="0"/>
        <v>103.08</v>
      </c>
      <c r="K9" s="20">
        <f>IF($E9="","",IF($D9=הנחות!$A$15,הנחות!$C$15,IF($D9=הנחות!$A$16,הנחות!$C$16,הנחות!$C$14))*הנחות!$C$19)</f>
        <v>25000</v>
      </c>
      <c r="L9" s="20">
        <f t="shared" si="1"/>
        <v>2577000</v>
      </c>
      <c r="M9" s="20">
        <f t="shared" si="2"/>
        <v>0</v>
      </c>
      <c r="N9" s="20">
        <f>IF($E9="","",IF($D9=הנחות!$A$16,הנחות!$C$16,הנחות!$C$14)*הנחות!$C$19*הנחות!$C$17)</f>
        <v>8250</v>
      </c>
      <c r="O9" s="20">
        <f t="shared" si="3"/>
        <v>58575</v>
      </c>
      <c r="P9" s="20">
        <f>IF($E9="","",הנחות!$C$15*הנחות!$C$19*הנחות!$C$18)</f>
        <v>6750</v>
      </c>
      <c r="Q9" s="20">
        <f t="shared" si="4"/>
        <v>0</v>
      </c>
      <c r="R9" s="21">
        <f t="shared" si="5"/>
        <v>2635575</v>
      </c>
      <c r="S9" s="20">
        <f>IF($E9="","",R9/(1+הנחות!$C$6))</f>
        <v>2233538.1355932206</v>
      </c>
    </row>
    <row r="10" spans="1:19" x14ac:dyDescent="0.2">
      <c r="A10" s="17">
        <f>IF($E10="","",COUNT($E$5:$E10))</f>
        <v>6</v>
      </c>
      <c r="B10" s="18" t="s">
        <v>89</v>
      </c>
      <c r="C10" s="18" t="s">
        <v>87</v>
      </c>
      <c r="D10" s="18" t="s">
        <v>12</v>
      </c>
      <c r="E10" s="13">
        <v>95.27</v>
      </c>
      <c r="F10" s="13">
        <v>13.7</v>
      </c>
      <c r="G10" s="13"/>
      <c r="H10" s="13">
        <v>11.5</v>
      </c>
      <c r="I10" s="13"/>
      <c r="J10" s="19">
        <f t="shared" si="0"/>
        <v>108.97</v>
      </c>
      <c r="K10" s="20">
        <f>IF($E10="","",IF($D10=הנחות!$A$15,הנחות!$C$15,IF($D10=הנחות!$A$16,הנחות!$C$16,הנחות!$C$14))*הנחות!$C$19)</f>
        <v>25000</v>
      </c>
      <c r="L10" s="20">
        <f t="shared" si="1"/>
        <v>2724250</v>
      </c>
      <c r="M10" s="20">
        <f t="shared" si="2"/>
        <v>0</v>
      </c>
      <c r="N10" s="20">
        <f>IF($E10="","",IF($D10=הנחות!$A$16,הנחות!$C$16,הנחות!$C$14)*הנחות!$C$19*הנחות!$C$17)</f>
        <v>8250</v>
      </c>
      <c r="O10" s="20">
        <f t="shared" si="3"/>
        <v>94875</v>
      </c>
      <c r="P10" s="20">
        <f>IF($E10="","",הנחות!$C$15*הנחות!$C$19*הנחות!$C$18)</f>
        <v>6750</v>
      </c>
      <c r="Q10" s="20">
        <f t="shared" si="4"/>
        <v>0</v>
      </c>
      <c r="R10" s="21">
        <f t="shared" si="5"/>
        <v>2819125</v>
      </c>
      <c r="S10" s="20">
        <f>IF($E10="","",R10/(1+הנחות!$C$6))</f>
        <v>2389088.9830508474</v>
      </c>
    </row>
    <row r="11" spans="1:19" x14ac:dyDescent="0.2">
      <c r="A11" s="17">
        <f>IF($E11="","",COUNT($E$5:$E11))</f>
        <v>7</v>
      </c>
      <c r="B11" s="18" t="s">
        <v>90</v>
      </c>
      <c r="C11" s="18" t="s">
        <v>86</v>
      </c>
      <c r="D11" s="18" t="s">
        <v>12</v>
      </c>
      <c r="E11" s="13">
        <v>91.71</v>
      </c>
      <c r="F11" s="13"/>
      <c r="G11" s="13"/>
      <c r="H11" s="13">
        <v>13.7</v>
      </c>
      <c r="I11" s="13"/>
      <c r="J11" s="19">
        <f t="shared" si="0"/>
        <v>91.71</v>
      </c>
      <c r="K11" s="20">
        <f>IF($E11="","",IF($D11=הנחות!$A$15,הנחות!$C$15,IF($D11=הנחות!$A$16,הנחות!$C$16,הנחות!$C$14))*הנחות!$C$19)</f>
        <v>25000</v>
      </c>
      <c r="L11" s="20">
        <f t="shared" si="1"/>
        <v>2292750</v>
      </c>
      <c r="M11" s="20">
        <f t="shared" si="2"/>
        <v>0</v>
      </c>
      <c r="N11" s="20">
        <f>IF($E11="","",IF($D11=הנחות!$A$16,הנחות!$C$16,הנחות!$C$14)*הנחות!$C$19*הנחות!$C$17)</f>
        <v>8250</v>
      </c>
      <c r="O11" s="20">
        <f t="shared" si="3"/>
        <v>113025</v>
      </c>
      <c r="P11" s="20">
        <f>IF($E11="","",הנחות!$C$15*הנחות!$C$19*הנחות!$C$18)</f>
        <v>6750</v>
      </c>
      <c r="Q11" s="20">
        <f t="shared" si="4"/>
        <v>0</v>
      </c>
      <c r="R11" s="21">
        <f t="shared" si="5"/>
        <v>2405775</v>
      </c>
      <c r="S11" s="20">
        <f>IF($E11="","",R11/(1+הנחות!$C$6))</f>
        <v>2038792.3728813559</v>
      </c>
    </row>
    <row r="12" spans="1:19" x14ac:dyDescent="0.2">
      <c r="A12" s="17">
        <f>IF($E12="","",COUNT($E$5:$E12))</f>
        <v>8</v>
      </c>
      <c r="B12" s="18" t="s">
        <v>90</v>
      </c>
      <c r="C12" s="18" t="s">
        <v>87</v>
      </c>
      <c r="D12" s="18" t="s">
        <v>12</v>
      </c>
      <c r="E12" s="13">
        <v>95.27</v>
      </c>
      <c r="F12" s="13"/>
      <c r="G12" s="13"/>
      <c r="H12" s="13">
        <v>11.6</v>
      </c>
      <c r="I12" s="13"/>
      <c r="J12" s="19">
        <f t="shared" si="0"/>
        <v>95.27</v>
      </c>
      <c r="K12" s="20">
        <f>IF($E12="","",IF($D12=הנחות!$A$15,הנחות!$C$15,IF($D12=הנחות!$A$16,הנחות!$C$16,הנחות!$C$14))*הנחות!$C$19)</f>
        <v>25000</v>
      </c>
      <c r="L12" s="20">
        <f t="shared" si="1"/>
        <v>2381750</v>
      </c>
      <c r="M12" s="20">
        <f t="shared" si="2"/>
        <v>0</v>
      </c>
      <c r="N12" s="20">
        <f>IF($E12="","",IF($D12=הנחות!$A$16,הנחות!$C$16,הנחות!$C$14)*הנחות!$C$19*הנחות!$C$17)</f>
        <v>8250</v>
      </c>
      <c r="O12" s="20">
        <f t="shared" si="3"/>
        <v>95700</v>
      </c>
      <c r="P12" s="20">
        <f>IF($E12="","",הנחות!$C$15*הנחות!$C$19*הנחות!$C$18)</f>
        <v>6750</v>
      </c>
      <c r="Q12" s="20">
        <f t="shared" si="4"/>
        <v>0</v>
      </c>
      <c r="R12" s="21">
        <f t="shared" si="5"/>
        <v>2477450</v>
      </c>
      <c r="S12" s="20">
        <f>IF($E12="","",R12/(1+הנחות!$C$6))</f>
        <v>2099533.898305085</v>
      </c>
    </row>
    <row r="13" spans="1:19" x14ac:dyDescent="0.2">
      <c r="A13" s="17">
        <f>IF($E13="","",COUNT($E$5:$E13))</f>
        <v>9</v>
      </c>
      <c r="B13" s="18" t="s">
        <v>91</v>
      </c>
      <c r="C13" s="18" t="s">
        <v>86</v>
      </c>
      <c r="D13" s="18" t="s">
        <v>12</v>
      </c>
      <c r="E13" s="13">
        <v>91.71</v>
      </c>
      <c r="F13" s="13"/>
      <c r="G13" s="13"/>
      <c r="H13" s="13">
        <v>18.8</v>
      </c>
      <c r="I13" s="13"/>
      <c r="J13" s="19">
        <f t="shared" si="0"/>
        <v>91.71</v>
      </c>
      <c r="K13" s="20">
        <f>IF($E13="","",IF($D13=הנחות!$A$15,הנחות!$C$15,IF($D13=הנחות!$A$16,הנחות!$C$16,הנחות!$C$14))*הנחות!$C$19)</f>
        <v>25000</v>
      </c>
      <c r="L13" s="20">
        <f t="shared" si="1"/>
        <v>2292750</v>
      </c>
      <c r="M13" s="20">
        <f t="shared" si="2"/>
        <v>0</v>
      </c>
      <c r="N13" s="20">
        <f>IF($E13="","",IF($D13=הנחות!$A$16,הנחות!$C$16,הנחות!$C$14)*הנחות!$C$19*הנחות!$C$17)</f>
        <v>8250</v>
      </c>
      <c r="O13" s="20">
        <f t="shared" si="3"/>
        <v>155100</v>
      </c>
      <c r="P13" s="20">
        <f>IF($E13="","",הנחות!$C$15*הנחות!$C$19*הנחות!$C$18)</f>
        <v>6750</v>
      </c>
      <c r="Q13" s="20">
        <f t="shared" si="4"/>
        <v>0</v>
      </c>
      <c r="R13" s="21">
        <f t="shared" si="5"/>
        <v>2447850</v>
      </c>
      <c r="S13" s="20">
        <f>IF($E13="","",R13/(1+הנחות!$C$6))</f>
        <v>2074449.1525423729</v>
      </c>
    </row>
    <row r="14" spans="1:19" x14ac:dyDescent="0.2">
      <c r="A14" s="17">
        <f>IF($E14="","",COUNT($E$5:$E14))</f>
        <v>10</v>
      </c>
      <c r="B14" s="18" t="s">
        <v>91</v>
      </c>
      <c r="C14" s="18" t="s">
        <v>87</v>
      </c>
      <c r="D14" s="18" t="s">
        <v>12</v>
      </c>
      <c r="E14" s="13">
        <v>95.27</v>
      </c>
      <c r="F14" s="13"/>
      <c r="G14" s="13"/>
      <c r="H14" s="13">
        <v>21.3</v>
      </c>
      <c r="I14" s="13"/>
      <c r="J14" s="19">
        <f t="shared" si="0"/>
        <v>95.27</v>
      </c>
      <c r="K14" s="20">
        <f>IF($E14="","",IF($D14=הנחות!$A$15,הנחות!$C$15,IF($D14=הנחות!$A$16,הנחות!$C$16,הנחות!$C$14))*הנחות!$C$19)</f>
        <v>25000</v>
      </c>
      <c r="L14" s="20">
        <f t="shared" si="1"/>
        <v>2381750</v>
      </c>
      <c r="M14" s="20">
        <f t="shared" si="2"/>
        <v>0</v>
      </c>
      <c r="N14" s="20">
        <f>IF($E14="","",IF($D14=הנחות!$A$16,הנחות!$C$16,הנחות!$C$14)*הנחות!$C$19*הנחות!$C$17)</f>
        <v>8250</v>
      </c>
      <c r="O14" s="20">
        <f t="shared" si="3"/>
        <v>175725</v>
      </c>
      <c r="P14" s="20">
        <f>IF($E14="","",הנחות!$C$15*הנחות!$C$19*הנחות!$C$18)</f>
        <v>6750</v>
      </c>
      <c r="Q14" s="20">
        <f t="shared" si="4"/>
        <v>0</v>
      </c>
      <c r="R14" s="21">
        <f t="shared" si="5"/>
        <v>2557475</v>
      </c>
      <c r="S14" s="20">
        <f>IF($E14="","",R14/(1+הנחות!$C$6))</f>
        <v>2167351.6949152541</v>
      </c>
    </row>
    <row r="15" spans="1:19" x14ac:dyDescent="0.2">
      <c r="A15" s="17">
        <f>IF($E15="","",COUNT($E$5:$E15))</f>
        <v>11</v>
      </c>
      <c r="B15" s="18" t="s">
        <v>91</v>
      </c>
      <c r="C15" s="18" t="s">
        <v>92</v>
      </c>
      <c r="D15" s="18" t="s">
        <v>12</v>
      </c>
      <c r="E15" s="13">
        <v>84.11</v>
      </c>
      <c r="F15" s="13"/>
      <c r="G15" s="13"/>
      <c r="H15" s="13">
        <v>16</v>
      </c>
      <c r="I15" s="13"/>
      <c r="J15" s="19">
        <f t="shared" si="0"/>
        <v>84.11</v>
      </c>
      <c r="K15" s="20">
        <f>IF($E15="","",IF($D15=הנחות!$A$15,הנחות!$C$15,IF($D15=הנחות!$A$16,הנחות!$C$16,הנחות!$C$14))*הנחות!$C$19)</f>
        <v>25000</v>
      </c>
      <c r="L15" s="20">
        <f t="shared" si="1"/>
        <v>2102750</v>
      </c>
      <c r="M15" s="20">
        <f t="shared" si="2"/>
        <v>0</v>
      </c>
      <c r="N15" s="20">
        <f>IF($E15="","",IF($D15=הנחות!$A$16,הנחות!$C$16,הנחות!$C$14)*הנחות!$C$19*הנחות!$C$17)</f>
        <v>8250</v>
      </c>
      <c r="O15" s="20">
        <f t="shared" si="3"/>
        <v>132000</v>
      </c>
      <c r="P15" s="20">
        <f>IF($E15="","",הנחות!$C$15*הנחות!$C$19*הנחות!$C$18)</f>
        <v>6750</v>
      </c>
      <c r="Q15" s="20">
        <f t="shared" si="4"/>
        <v>0</v>
      </c>
      <c r="R15" s="21">
        <f t="shared" si="5"/>
        <v>2234750</v>
      </c>
      <c r="S15" s="20">
        <f>IF($E15="","",R15/(1+הנחות!$C$6))</f>
        <v>1893855.9322033899</v>
      </c>
    </row>
    <row r="16" spans="1:19" x14ac:dyDescent="0.2">
      <c r="A16" s="17">
        <f>IF($E16="","",COUNT($E$5:$E16))</f>
        <v>12</v>
      </c>
      <c r="B16" s="18" t="s">
        <v>93</v>
      </c>
      <c r="C16" s="18" t="s">
        <v>87</v>
      </c>
      <c r="D16" s="18" t="s">
        <v>12</v>
      </c>
      <c r="E16" s="13">
        <v>91.71</v>
      </c>
      <c r="F16" s="13"/>
      <c r="G16" s="13"/>
      <c r="H16" s="13">
        <v>12.8</v>
      </c>
      <c r="I16" s="13"/>
      <c r="J16" s="19">
        <f t="shared" si="0"/>
        <v>91.71</v>
      </c>
      <c r="K16" s="20">
        <f>IF($E16="","",IF($D16=הנחות!$A$15,הנחות!$C$15,IF($D16=הנחות!$A$16,הנחות!$C$16,הנחות!$C$14))*הנחות!$C$19)</f>
        <v>25000</v>
      </c>
      <c r="L16" s="20">
        <f t="shared" si="1"/>
        <v>2292750</v>
      </c>
      <c r="M16" s="20">
        <f t="shared" si="2"/>
        <v>0</v>
      </c>
      <c r="N16" s="20">
        <f>IF($E16="","",IF($D16=הנחות!$A$16,הנחות!$C$16,הנחות!$C$14)*הנחות!$C$19*הנחות!$C$17)</f>
        <v>8250</v>
      </c>
      <c r="O16" s="20">
        <f t="shared" si="3"/>
        <v>105600</v>
      </c>
      <c r="P16" s="20">
        <f>IF($E16="","",הנחות!$C$15*הנחות!$C$19*הנחות!$C$18)</f>
        <v>6750</v>
      </c>
      <c r="Q16" s="20">
        <f t="shared" si="4"/>
        <v>0</v>
      </c>
      <c r="R16" s="21">
        <f t="shared" si="5"/>
        <v>2398350</v>
      </c>
      <c r="S16" s="20">
        <f>IF($E16="","",R16/(1+הנחות!$C$6))</f>
        <v>2032500</v>
      </c>
    </row>
    <row r="17" spans="1:19" x14ac:dyDescent="0.2">
      <c r="A17" s="17">
        <f>IF($E17="","",COUNT($E$5:$E17))</f>
        <v>13</v>
      </c>
      <c r="B17" s="18" t="s">
        <v>93</v>
      </c>
      <c r="C17" s="18" t="s">
        <v>86</v>
      </c>
      <c r="D17" s="18" t="s">
        <v>12</v>
      </c>
      <c r="E17" s="13">
        <v>95.27</v>
      </c>
      <c r="F17" s="13"/>
      <c r="G17" s="13"/>
      <c r="H17" s="13">
        <v>14</v>
      </c>
      <c r="I17" s="13"/>
      <c r="J17" s="19">
        <f t="shared" si="0"/>
        <v>95.27</v>
      </c>
      <c r="K17" s="20">
        <f>IF($E17="","",IF($D17=הנחות!$A$15,הנחות!$C$15,IF($D17=הנחות!$A$16,הנחות!$C$16,הנחות!$C$14))*הנחות!$C$19)</f>
        <v>25000</v>
      </c>
      <c r="L17" s="20">
        <f t="shared" si="1"/>
        <v>2381750</v>
      </c>
      <c r="M17" s="20">
        <f t="shared" si="2"/>
        <v>0</v>
      </c>
      <c r="N17" s="20">
        <f>IF($E17="","",IF($D17=הנחות!$A$16,הנחות!$C$16,הנחות!$C$14)*הנחות!$C$19*הנחות!$C$17)</f>
        <v>8250</v>
      </c>
      <c r="O17" s="20">
        <f t="shared" si="3"/>
        <v>115500</v>
      </c>
      <c r="P17" s="20">
        <f>IF($E17="","",הנחות!$C$15*הנחות!$C$19*הנחות!$C$18)</f>
        <v>6750</v>
      </c>
      <c r="Q17" s="20">
        <f t="shared" si="4"/>
        <v>0</v>
      </c>
      <c r="R17" s="21">
        <f t="shared" si="5"/>
        <v>2497250</v>
      </c>
      <c r="S17" s="20">
        <f>IF($E17="","",R17/(1+הנחות!$C$6))</f>
        <v>2116313.559322034</v>
      </c>
    </row>
    <row r="18" spans="1:19" x14ac:dyDescent="0.2">
      <c r="A18" s="17">
        <f>IF($E18="","",COUNT($E$5:$E18))</f>
        <v>14</v>
      </c>
      <c r="B18" s="18" t="s">
        <v>93</v>
      </c>
      <c r="C18" s="18" t="s">
        <v>92</v>
      </c>
      <c r="D18" s="18" t="s">
        <v>12</v>
      </c>
      <c r="E18" s="13">
        <v>84.11</v>
      </c>
      <c r="F18" s="13"/>
      <c r="G18" s="13"/>
      <c r="H18" s="13">
        <v>22.1</v>
      </c>
      <c r="I18" s="13"/>
      <c r="J18" s="19">
        <f t="shared" si="0"/>
        <v>84.11</v>
      </c>
      <c r="K18" s="20">
        <f>IF($E18="","",IF($D18=הנחות!$A$15,הנחות!$C$15,IF($D18=הנחות!$A$16,הנחות!$C$16,הנחות!$C$14))*הנחות!$C$19)</f>
        <v>25000</v>
      </c>
      <c r="L18" s="20">
        <f t="shared" si="1"/>
        <v>2102750</v>
      </c>
      <c r="M18" s="20">
        <f t="shared" si="2"/>
        <v>0</v>
      </c>
      <c r="N18" s="20">
        <f>IF($E18="","",IF($D18=הנחות!$A$16,הנחות!$C$16,הנחות!$C$14)*הנחות!$C$19*הנחות!$C$17)</f>
        <v>8250</v>
      </c>
      <c r="O18" s="20">
        <f t="shared" si="3"/>
        <v>182325</v>
      </c>
      <c r="P18" s="20">
        <f>IF($E18="","",הנחות!$C$15*הנחות!$C$19*הנחות!$C$18)</f>
        <v>6750</v>
      </c>
      <c r="Q18" s="20">
        <f t="shared" si="4"/>
        <v>0</v>
      </c>
      <c r="R18" s="21">
        <f t="shared" si="5"/>
        <v>2285075</v>
      </c>
      <c r="S18" s="20">
        <f>IF($E18="","",R18/(1+הנחות!$C$6))</f>
        <v>1936504.2372881358</v>
      </c>
    </row>
    <row r="19" spans="1:19" x14ac:dyDescent="0.2">
      <c r="A19" s="17">
        <f>IF($E19="","",COUNT($E$5:$E19))</f>
        <v>15</v>
      </c>
      <c r="B19" s="18" t="s">
        <v>94</v>
      </c>
      <c r="C19" s="18" t="s">
        <v>87</v>
      </c>
      <c r="D19" s="18" t="s">
        <v>12</v>
      </c>
      <c r="E19" s="13">
        <v>91.71</v>
      </c>
      <c r="F19" s="13"/>
      <c r="G19" s="13"/>
      <c r="H19" s="13">
        <v>7.4</v>
      </c>
      <c r="I19" s="13"/>
      <c r="J19" s="19">
        <f t="shared" si="0"/>
        <v>91.71</v>
      </c>
      <c r="K19" s="20">
        <f>IF($E19="","",IF($D19=הנחות!$A$15,הנחות!$C$15,IF($D19=הנחות!$A$16,הנחות!$C$16,הנחות!$C$14))*הנחות!$C$19)</f>
        <v>25000</v>
      </c>
      <c r="L19" s="20">
        <f t="shared" si="1"/>
        <v>2292750</v>
      </c>
      <c r="M19" s="20">
        <f t="shared" si="2"/>
        <v>0</v>
      </c>
      <c r="N19" s="20">
        <f>IF($E19="","",IF($D19=הנחות!$A$16,הנחות!$C$16,הנחות!$C$14)*הנחות!$C$19*הנחות!$C$17)</f>
        <v>8250</v>
      </c>
      <c r="O19" s="20">
        <f t="shared" si="3"/>
        <v>61050</v>
      </c>
      <c r="P19" s="20">
        <f>IF($E19="","",הנחות!$C$15*הנחות!$C$19*הנחות!$C$18)</f>
        <v>6750</v>
      </c>
      <c r="Q19" s="20">
        <f t="shared" si="4"/>
        <v>0</v>
      </c>
      <c r="R19" s="21">
        <f t="shared" si="5"/>
        <v>2353800</v>
      </c>
      <c r="S19" s="20">
        <f>IF($E19="","",R19/(1+הנחות!$C$6))</f>
        <v>1994745.7627118644</v>
      </c>
    </row>
    <row r="20" spans="1:19" x14ac:dyDescent="0.2">
      <c r="A20" s="17">
        <f>IF($E20="","",COUNT($E$5:$E20))</f>
        <v>16</v>
      </c>
      <c r="B20" s="18" t="s">
        <v>94</v>
      </c>
      <c r="C20" s="18" t="s">
        <v>86</v>
      </c>
      <c r="D20" s="18" t="s">
        <v>12</v>
      </c>
      <c r="E20" s="13">
        <v>95.27</v>
      </c>
      <c r="F20" s="13"/>
      <c r="G20" s="13"/>
      <c r="H20" s="13">
        <v>7.6</v>
      </c>
      <c r="I20" s="13"/>
      <c r="J20" s="19">
        <f t="shared" si="0"/>
        <v>95.27</v>
      </c>
      <c r="K20" s="20">
        <f>IF($E20="","",IF($D20=הנחות!$A$15,הנחות!$C$15,IF($D20=הנחות!$A$16,הנחות!$C$16,הנחות!$C$14))*הנחות!$C$19)</f>
        <v>25000</v>
      </c>
      <c r="L20" s="20">
        <f t="shared" si="1"/>
        <v>2381750</v>
      </c>
      <c r="M20" s="20">
        <f t="shared" si="2"/>
        <v>0</v>
      </c>
      <c r="N20" s="20">
        <f>IF($E20="","",IF($D20=הנחות!$A$16,הנחות!$C$16,הנחות!$C$14)*הנחות!$C$19*הנחות!$C$17)</f>
        <v>8250</v>
      </c>
      <c r="O20" s="20">
        <f t="shared" si="3"/>
        <v>62700</v>
      </c>
      <c r="P20" s="20">
        <f>IF($E20="","",הנחות!$C$15*הנחות!$C$19*הנחות!$C$18)</f>
        <v>6750</v>
      </c>
      <c r="Q20" s="20">
        <f t="shared" si="4"/>
        <v>0</v>
      </c>
      <c r="R20" s="21">
        <f t="shared" si="5"/>
        <v>2444450</v>
      </c>
      <c r="S20" s="20">
        <f>IF($E20="","",R20/(1+הנחות!$C$6))</f>
        <v>2071567.7966101696</v>
      </c>
    </row>
    <row r="21" spans="1:19" x14ac:dyDescent="0.2">
      <c r="A21" s="17">
        <f>IF($E21="","",COUNT($E$5:$E21))</f>
        <v>17</v>
      </c>
      <c r="B21" s="18" t="s">
        <v>94</v>
      </c>
      <c r="C21" s="18" t="s">
        <v>92</v>
      </c>
      <c r="D21" s="18" t="s">
        <v>12</v>
      </c>
      <c r="E21" s="13">
        <v>84.11</v>
      </c>
      <c r="F21" s="13"/>
      <c r="G21" s="13"/>
      <c r="H21" s="13">
        <v>6.5</v>
      </c>
      <c r="I21" s="13"/>
      <c r="J21" s="19">
        <f t="shared" si="0"/>
        <v>84.11</v>
      </c>
      <c r="K21" s="20">
        <f>IF($E21="","",IF($D21=הנחות!$A$15,הנחות!$C$15,IF($D21=הנחות!$A$16,הנחות!$C$16,הנחות!$C$14))*הנחות!$C$19)</f>
        <v>25000</v>
      </c>
      <c r="L21" s="20">
        <f t="shared" si="1"/>
        <v>2102750</v>
      </c>
      <c r="M21" s="20">
        <f t="shared" si="2"/>
        <v>0</v>
      </c>
      <c r="N21" s="20">
        <f>IF($E21="","",IF($D21=הנחות!$A$16,הנחות!$C$16,הנחות!$C$14)*הנחות!$C$19*הנחות!$C$17)</f>
        <v>8250</v>
      </c>
      <c r="O21" s="20">
        <f t="shared" si="3"/>
        <v>53625</v>
      </c>
      <c r="P21" s="20">
        <f>IF($E21="","",הנחות!$C$15*הנחות!$C$19*הנחות!$C$18)</f>
        <v>6750</v>
      </c>
      <c r="Q21" s="20">
        <f t="shared" si="4"/>
        <v>0</v>
      </c>
      <c r="R21" s="21">
        <f t="shared" si="5"/>
        <v>2156375</v>
      </c>
      <c r="S21" s="20">
        <f>IF($E21="","",R21/(1+הנחות!$C$6))</f>
        <v>1827436.4406779662</v>
      </c>
    </row>
    <row r="22" spans="1:19" x14ac:dyDescent="0.2">
      <c r="A22" s="17">
        <f>IF($E22="","",COUNT($E$5:$E22))</f>
        <v>18</v>
      </c>
      <c r="B22" s="18" t="s">
        <v>95</v>
      </c>
      <c r="C22" s="18" t="s">
        <v>15</v>
      </c>
      <c r="D22" s="18" t="s">
        <v>15</v>
      </c>
      <c r="E22" s="13">
        <v>96.95</v>
      </c>
      <c r="F22" s="13">
        <v>11.37</v>
      </c>
      <c r="G22" s="13">
        <v>60.43</v>
      </c>
      <c r="H22" s="13">
        <v>87.7</v>
      </c>
      <c r="I22" s="13"/>
      <c r="J22" s="19">
        <f t="shared" si="0"/>
        <v>108.32000000000001</v>
      </c>
      <c r="K22" s="20">
        <f>IF($E22="","",IF($D22=הנחות!$A$15,הנחות!$C$15,IF($D22=הנחות!$A$16,הנחות!$C$16,הנחות!$C$14))*הנחות!$C$19)</f>
        <v>35000</v>
      </c>
      <c r="L22" s="20">
        <f t="shared" si="1"/>
        <v>3791200.0000000005</v>
      </c>
      <c r="M22" s="20">
        <f t="shared" si="2"/>
        <v>2115050</v>
      </c>
      <c r="N22" s="20">
        <f>IF($E22="","",IF($D22=הנחות!$A$16,הנחות!$C$16,הנחות!$C$14)*הנחות!$C$19*הנחות!$C$17)</f>
        <v>11550</v>
      </c>
      <c r="O22" s="20">
        <f t="shared" si="3"/>
        <v>1012935</v>
      </c>
      <c r="P22" s="20">
        <f>IF($E22="","",הנחות!$C$15*הנחות!$C$19*הנחות!$C$18)</f>
        <v>6750</v>
      </c>
      <c r="Q22" s="20">
        <f t="shared" si="4"/>
        <v>0</v>
      </c>
      <c r="R22" s="21">
        <f t="shared" si="5"/>
        <v>6919185</v>
      </c>
      <c r="S22" s="20">
        <f>IF($E22="","",R22/(1+הנחות!$C$6))</f>
        <v>5863716.1016949154</v>
      </c>
    </row>
    <row r="23" spans="1:19" x14ac:dyDescent="0.2">
      <c r="A23" s="17" t="str">
        <f>IF($E23="","",COUNT($E$5:$E23))</f>
        <v/>
      </c>
      <c r="B23" s="22"/>
      <c r="C23" s="22"/>
      <c r="D23" s="22" t="s">
        <v>12</v>
      </c>
      <c r="E23" s="23"/>
      <c r="F23" s="23"/>
      <c r="G23" s="23"/>
      <c r="H23" s="23"/>
      <c r="I23" s="23"/>
      <c r="J23" s="19" t="str">
        <f t="shared" si="0"/>
        <v/>
      </c>
      <c r="K23" s="20" t="str">
        <f>IF($E23="","",IF($D23=הנחות!$A$15,הנחות!$C$15,IF($D23=הנחות!$A$16,הנחות!$C$16,הנחות!$C$14))*הנחות!$C$19)</f>
        <v/>
      </c>
      <c r="L23" s="20" t="str">
        <f t="shared" si="1"/>
        <v/>
      </c>
      <c r="M23" s="20" t="str">
        <f t="shared" si="2"/>
        <v/>
      </c>
      <c r="N23" s="20" t="str">
        <f>IF($E23="","",IF($D23=הנחות!$A$16,הנחות!$C$16,הנחות!$C$14)*הנחות!$C$19*הנחות!$C$17)</f>
        <v/>
      </c>
      <c r="O23" s="20" t="str">
        <f t="shared" si="3"/>
        <v/>
      </c>
      <c r="P23" s="20" t="str">
        <f>IF($E23="","",הנחות!$C$15*הנחות!$C$19*הנחות!$C$18)</f>
        <v/>
      </c>
      <c r="Q23" s="20" t="str">
        <f t="shared" si="4"/>
        <v/>
      </c>
      <c r="R23" s="21" t="str">
        <f t="shared" si="5"/>
        <v/>
      </c>
      <c r="S23" s="20" t="str">
        <f>IF($E23="","",R23/(1+הנחות!$C$6))</f>
        <v/>
      </c>
    </row>
    <row r="24" spans="1:19" x14ac:dyDescent="0.2">
      <c r="A24" s="17" t="str">
        <f>IF($E24="","",COUNT($E$5:$E24))</f>
        <v/>
      </c>
      <c r="B24" s="22"/>
      <c r="C24" s="22"/>
      <c r="D24" s="22" t="s">
        <v>12</v>
      </c>
      <c r="E24" s="23"/>
      <c r="F24" s="23"/>
      <c r="G24" s="23"/>
      <c r="H24" s="23"/>
      <c r="I24" s="23"/>
      <c r="J24" s="19" t="str">
        <f t="shared" si="0"/>
        <v/>
      </c>
      <c r="K24" s="20" t="str">
        <f>IF($E24="","",IF($D24=הנחות!$A$15,הנחות!$C$15,IF($D24=הנחות!$A$16,הנחות!$C$16,הנחות!$C$14))*הנחות!$C$19)</f>
        <v/>
      </c>
      <c r="L24" s="20" t="str">
        <f t="shared" si="1"/>
        <v/>
      </c>
      <c r="M24" s="20" t="str">
        <f t="shared" si="2"/>
        <v/>
      </c>
      <c r="N24" s="20" t="str">
        <f>IF($E24="","",IF($D24=הנחות!$A$16,הנחות!$C$16,הנחות!$C$14)*הנחות!$C$19*הנחות!$C$17)</f>
        <v/>
      </c>
      <c r="O24" s="20" t="str">
        <f t="shared" si="3"/>
        <v/>
      </c>
      <c r="P24" s="20" t="str">
        <f>IF($E24="","",הנחות!$C$15*הנחות!$C$19*הנחות!$C$18)</f>
        <v/>
      </c>
      <c r="Q24" s="20" t="str">
        <f t="shared" si="4"/>
        <v/>
      </c>
      <c r="R24" s="21" t="str">
        <f t="shared" si="5"/>
        <v/>
      </c>
      <c r="S24" s="20" t="str">
        <f>IF($E24="","",R24/(1+הנחות!$C$6))</f>
        <v/>
      </c>
    </row>
    <row r="25" spans="1:19" x14ac:dyDescent="0.2">
      <c r="A25" s="17" t="str">
        <f>IF($E25="","",COUNT($E$5:$E25))</f>
        <v/>
      </c>
      <c r="B25" s="22"/>
      <c r="C25" s="22"/>
      <c r="D25" s="22" t="s">
        <v>12</v>
      </c>
      <c r="E25" s="23"/>
      <c r="F25" s="23"/>
      <c r="G25" s="23"/>
      <c r="H25" s="23"/>
      <c r="I25" s="23"/>
      <c r="J25" s="19" t="str">
        <f t="shared" si="0"/>
        <v/>
      </c>
      <c r="K25" s="20" t="str">
        <f>IF($E25="","",IF($D25=הנחות!$A$15,הנחות!$C$15,IF($D25=הנחות!$A$16,הנחות!$C$16,הנחות!$C$14))*הנחות!$C$19)</f>
        <v/>
      </c>
      <c r="L25" s="20" t="str">
        <f t="shared" si="1"/>
        <v/>
      </c>
      <c r="M25" s="20" t="str">
        <f t="shared" si="2"/>
        <v/>
      </c>
      <c r="N25" s="20" t="str">
        <f>IF($E25="","",IF($D25=הנחות!$A$16,הנחות!$C$16,הנחות!$C$14)*הנחות!$C$19*הנחות!$C$17)</f>
        <v/>
      </c>
      <c r="O25" s="20" t="str">
        <f t="shared" si="3"/>
        <v/>
      </c>
      <c r="P25" s="20" t="str">
        <f>IF($E25="","",הנחות!$C$15*הנחות!$C$19*הנחות!$C$18)</f>
        <v/>
      </c>
      <c r="Q25" s="20" t="str">
        <f t="shared" si="4"/>
        <v/>
      </c>
      <c r="R25" s="21" t="str">
        <f t="shared" si="5"/>
        <v/>
      </c>
      <c r="S25" s="20" t="str">
        <f>IF($E25="","",R25/(1+הנחות!$C$6))</f>
        <v/>
      </c>
    </row>
    <row r="26" spans="1:19" x14ac:dyDescent="0.2">
      <c r="A26" s="17" t="str">
        <f>IF($E26="","",COUNT($E$5:$E26))</f>
        <v/>
      </c>
      <c r="B26" s="22"/>
      <c r="C26" s="22"/>
      <c r="D26" s="22" t="s">
        <v>12</v>
      </c>
      <c r="E26" s="23"/>
      <c r="F26" s="23"/>
      <c r="G26" s="23"/>
      <c r="H26" s="23"/>
      <c r="I26" s="23"/>
      <c r="J26" s="19" t="str">
        <f t="shared" si="0"/>
        <v/>
      </c>
      <c r="K26" s="20" t="str">
        <f>IF($E26="","",IF($D26=הנחות!$A$15,הנחות!$C$15,IF($D26=הנחות!$A$16,הנחות!$C$16,הנחות!$C$14))*הנחות!$C$19)</f>
        <v/>
      </c>
      <c r="L26" s="20" t="str">
        <f t="shared" si="1"/>
        <v/>
      </c>
      <c r="M26" s="20" t="str">
        <f t="shared" si="2"/>
        <v/>
      </c>
      <c r="N26" s="20" t="str">
        <f>IF($E26="","",IF($D26=הנחות!$A$16,הנחות!$C$16,הנחות!$C$14)*הנחות!$C$19*הנחות!$C$17)</f>
        <v/>
      </c>
      <c r="O26" s="20" t="str">
        <f t="shared" si="3"/>
        <v/>
      </c>
      <c r="P26" s="20" t="str">
        <f>IF($E26="","",הנחות!$C$15*הנחות!$C$19*הנחות!$C$18)</f>
        <v/>
      </c>
      <c r="Q26" s="20" t="str">
        <f t="shared" si="4"/>
        <v/>
      </c>
      <c r="R26" s="21" t="str">
        <f t="shared" si="5"/>
        <v/>
      </c>
      <c r="S26" s="20" t="str">
        <f>IF($E26="","",R26/(1+הנחות!$C$6))</f>
        <v/>
      </c>
    </row>
    <row r="27" spans="1:19" x14ac:dyDescent="0.2">
      <c r="A27" s="17" t="str">
        <f>IF($E27="","",COUNT($E$5:$E27))</f>
        <v/>
      </c>
      <c r="B27" s="22"/>
      <c r="C27" s="22"/>
      <c r="D27" s="22" t="s">
        <v>12</v>
      </c>
      <c r="E27" s="23"/>
      <c r="F27" s="23"/>
      <c r="G27" s="23"/>
      <c r="H27" s="23"/>
      <c r="I27" s="23"/>
      <c r="J27" s="19" t="str">
        <f t="shared" si="0"/>
        <v/>
      </c>
      <c r="K27" s="20" t="str">
        <f>IF($E27="","",IF($D27=הנחות!$A$15,הנחות!$C$15,IF($D27=הנחות!$A$16,הנחות!$C$16,הנחות!$C$14))*הנחות!$C$19)</f>
        <v/>
      </c>
      <c r="L27" s="20" t="str">
        <f t="shared" si="1"/>
        <v/>
      </c>
      <c r="M27" s="20" t="str">
        <f t="shared" si="2"/>
        <v/>
      </c>
      <c r="N27" s="20" t="str">
        <f>IF($E27="","",IF($D27=הנחות!$A$16,הנחות!$C$16,הנחות!$C$14)*הנחות!$C$19*הנחות!$C$17)</f>
        <v/>
      </c>
      <c r="O27" s="20" t="str">
        <f t="shared" si="3"/>
        <v/>
      </c>
      <c r="P27" s="20" t="str">
        <f>IF($E27="","",הנחות!$C$15*הנחות!$C$19*הנחות!$C$18)</f>
        <v/>
      </c>
      <c r="Q27" s="20" t="str">
        <f t="shared" si="4"/>
        <v/>
      </c>
      <c r="R27" s="21" t="str">
        <f t="shared" si="5"/>
        <v/>
      </c>
      <c r="S27" s="20" t="str">
        <f>IF($E27="","",R27/(1+הנחות!$C$6))</f>
        <v/>
      </c>
    </row>
    <row r="28" spans="1:19" x14ac:dyDescent="0.2">
      <c r="A28" s="17" t="str">
        <f>IF($E28="","",COUNT($E$5:$E28))</f>
        <v/>
      </c>
      <c r="B28" s="22"/>
      <c r="C28" s="22"/>
      <c r="D28" s="22" t="s">
        <v>12</v>
      </c>
      <c r="E28" s="23"/>
      <c r="F28" s="23"/>
      <c r="G28" s="23"/>
      <c r="H28" s="23"/>
      <c r="I28" s="23"/>
      <c r="J28" s="19" t="str">
        <f t="shared" si="0"/>
        <v/>
      </c>
      <c r="K28" s="20" t="str">
        <f>IF($E28="","",IF($D28=הנחות!$A$15,הנחות!$C$15,IF($D28=הנחות!$A$16,הנחות!$C$16,הנחות!$C$14))*הנחות!$C$19)</f>
        <v/>
      </c>
      <c r="L28" s="20" t="str">
        <f t="shared" si="1"/>
        <v/>
      </c>
      <c r="M28" s="20" t="str">
        <f t="shared" si="2"/>
        <v/>
      </c>
      <c r="N28" s="20" t="str">
        <f>IF($E28="","",IF($D28=הנחות!$A$16,הנחות!$C$16,הנחות!$C$14)*הנחות!$C$19*הנחות!$C$17)</f>
        <v/>
      </c>
      <c r="O28" s="20" t="str">
        <f t="shared" si="3"/>
        <v/>
      </c>
      <c r="P28" s="20" t="str">
        <f>IF($E28="","",הנחות!$C$15*הנחות!$C$19*הנחות!$C$18)</f>
        <v/>
      </c>
      <c r="Q28" s="20" t="str">
        <f t="shared" si="4"/>
        <v/>
      </c>
      <c r="R28" s="21" t="str">
        <f t="shared" si="5"/>
        <v/>
      </c>
      <c r="S28" s="20" t="str">
        <f>IF($E28="","",R28/(1+הנחות!$C$6))</f>
        <v/>
      </c>
    </row>
    <row r="29" spans="1:19" x14ac:dyDescent="0.2">
      <c r="A29" s="17" t="str">
        <f>IF($E29="","",COUNT($E$5:$E29))</f>
        <v/>
      </c>
      <c r="B29" s="22"/>
      <c r="C29" s="22"/>
      <c r="D29" s="22" t="s">
        <v>12</v>
      </c>
      <c r="E29" s="23"/>
      <c r="F29" s="23"/>
      <c r="G29" s="23"/>
      <c r="H29" s="23"/>
      <c r="I29" s="23"/>
      <c r="J29" s="19" t="str">
        <f t="shared" si="0"/>
        <v/>
      </c>
      <c r="K29" s="20" t="str">
        <f>IF($E29="","",IF($D29=הנחות!$A$15,הנחות!$C$15,IF($D29=הנחות!$A$16,הנחות!$C$16,הנחות!$C$14))*הנחות!$C$19)</f>
        <v/>
      </c>
      <c r="L29" s="20" t="str">
        <f t="shared" si="1"/>
        <v/>
      </c>
      <c r="M29" s="20" t="str">
        <f t="shared" si="2"/>
        <v/>
      </c>
      <c r="N29" s="20" t="str">
        <f>IF($E29="","",IF($D29=הנחות!$A$16,הנחות!$C$16,הנחות!$C$14)*הנחות!$C$19*הנחות!$C$17)</f>
        <v/>
      </c>
      <c r="O29" s="20" t="str">
        <f t="shared" si="3"/>
        <v/>
      </c>
      <c r="P29" s="20" t="str">
        <f>IF($E29="","",הנחות!$C$15*הנחות!$C$19*הנחות!$C$18)</f>
        <v/>
      </c>
      <c r="Q29" s="20" t="str">
        <f t="shared" si="4"/>
        <v/>
      </c>
      <c r="R29" s="21" t="str">
        <f t="shared" si="5"/>
        <v/>
      </c>
      <c r="S29" s="20" t="str">
        <f>IF($E29="","",R29/(1+הנחות!$C$6))</f>
        <v/>
      </c>
    </row>
    <row r="30" spans="1:19" x14ac:dyDescent="0.2">
      <c r="A30" s="17" t="str">
        <f>IF($E30="","",COUNT($E$5:$E30))</f>
        <v/>
      </c>
      <c r="B30" s="22"/>
      <c r="C30" s="22"/>
      <c r="D30" s="22" t="s">
        <v>12</v>
      </c>
      <c r="E30" s="23"/>
      <c r="F30" s="23"/>
      <c r="G30" s="23"/>
      <c r="H30" s="23"/>
      <c r="I30" s="23"/>
      <c r="J30" s="19" t="str">
        <f t="shared" si="0"/>
        <v/>
      </c>
      <c r="K30" s="20" t="str">
        <f>IF($E30="","",IF($D30=הנחות!$A$15,הנחות!$C$15,IF($D30=הנחות!$A$16,הנחות!$C$16,הנחות!$C$14))*הנחות!$C$19)</f>
        <v/>
      </c>
      <c r="L30" s="20" t="str">
        <f t="shared" si="1"/>
        <v/>
      </c>
      <c r="M30" s="20" t="str">
        <f t="shared" si="2"/>
        <v/>
      </c>
      <c r="N30" s="20" t="str">
        <f>IF($E30="","",IF($D30=הנחות!$A$16,הנחות!$C$16,הנחות!$C$14)*הנחות!$C$19*הנחות!$C$17)</f>
        <v/>
      </c>
      <c r="O30" s="20" t="str">
        <f t="shared" si="3"/>
        <v/>
      </c>
      <c r="P30" s="20" t="str">
        <f>IF($E30="","",הנחות!$C$15*הנחות!$C$19*הנחות!$C$18)</f>
        <v/>
      </c>
      <c r="Q30" s="20" t="str">
        <f t="shared" si="4"/>
        <v/>
      </c>
      <c r="R30" s="21" t="str">
        <f t="shared" si="5"/>
        <v/>
      </c>
      <c r="S30" s="20" t="str">
        <f>IF($E30="","",R30/(1+הנחות!$C$6))</f>
        <v/>
      </c>
    </row>
    <row r="31" spans="1:19" x14ac:dyDescent="0.2">
      <c r="A31" s="17" t="str">
        <f>IF($E31="","",COUNT($E$5:$E31))</f>
        <v/>
      </c>
      <c r="B31" s="22"/>
      <c r="C31" s="22"/>
      <c r="D31" s="22" t="s">
        <v>12</v>
      </c>
      <c r="E31" s="23"/>
      <c r="F31" s="23"/>
      <c r="G31" s="23"/>
      <c r="H31" s="23"/>
      <c r="I31" s="23"/>
      <c r="J31" s="19" t="str">
        <f t="shared" si="0"/>
        <v/>
      </c>
      <c r="K31" s="20" t="str">
        <f>IF($E31="","",IF($D31=הנחות!$A$15,הנחות!$C$15,IF($D31=הנחות!$A$16,הנחות!$C$16,הנחות!$C$14))*הנחות!$C$19)</f>
        <v/>
      </c>
      <c r="L31" s="20" t="str">
        <f t="shared" si="1"/>
        <v/>
      </c>
      <c r="M31" s="20" t="str">
        <f t="shared" si="2"/>
        <v/>
      </c>
      <c r="N31" s="20" t="str">
        <f>IF($E31="","",IF($D31=הנחות!$A$16,הנחות!$C$16,הנחות!$C$14)*הנחות!$C$19*הנחות!$C$17)</f>
        <v/>
      </c>
      <c r="O31" s="20" t="str">
        <f t="shared" si="3"/>
        <v/>
      </c>
      <c r="P31" s="20" t="str">
        <f>IF($E31="","",הנחות!$C$15*הנחות!$C$19*הנחות!$C$18)</f>
        <v/>
      </c>
      <c r="Q31" s="20" t="str">
        <f t="shared" si="4"/>
        <v/>
      </c>
      <c r="R31" s="21" t="str">
        <f t="shared" si="5"/>
        <v/>
      </c>
      <c r="S31" s="20" t="str">
        <f>IF($E31="","",R31/(1+הנחות!$C$6))</f>
        <v/>
      </c>
    </row>
    <row r="32" spans="1:19" x14ac:dyDescent="0.2">
      <c r="A32" s="17" t="str">
        <f>IF($E32="","",COUNT($E$5:$E32))</f>
        <v/>
      </c>
      <c r="B32" s="22"/>
      <c r="C32" s="22"/>
      <c r="D32" s="22" t="s">
        <v>12</v>
      </c>
      <c r="E32" s="23"/>
      <c r="F32" s="23"/>
      <c r="G32" s="23"/>
      <c r="H32" s="23"/>
      <c r="I32" s="23"/>
      <c r="J32" s="19" t="str">
        <f t="shared" si="0"/>
        <v/>
      </c>
      <c r="K32" s="20" t="str">
        <f>IF($E32="","",IF($D32=הנחות!$A$15,הנחות!$C$15,IF($D32=הנחות!$A$16,הנחות!$C$16,הנחות!$C$14))*הנחות!$C$19)</f>
        <v/>
      </c>
      <c r="L32" s="20" t="str">
        <f t="shared" si="1"/>
        <v/>
      </c>
      <c r="M32" s="20" t="str">
        <f t="shared" si="2"/>
        <v/>
      </c>
      <c r="N32" s="20" t="str">
        <f>IF($E32="","",IF($D32=הנחות!$A$16,הנחות!$C$16,הנחות!$C$14)*הנחות!$C$19*הנחות!$C$17)</f>
        <v/>
      </c>
      <c r="O32" s="20" t="str">
        <f t="shared" si="3"/>
        <v/>
      </c>
      <c r="P32" s="20" t="str">
        <f>IF($E32="","",הנחות!$C$15*הנחות!$C$19*הנחות!$C$18)</f>
        <v/>
      </c>
      <c r="Q32" s="20" t="str">
        <f t="shared" si="4"/>
        <v/>
      </c>
      <c r="R32" s="21" t="str">
        <f t="shared" si="5"/>
        <v/>
      </c>
      <c r="S32" s="20" t="str">
        <f>IF($E32="","",R32/(1+הנחות!$C$6))</f>
        <v/>
      </c>
    </row>
    <row r="33" spans="1:19" x14ac:dyDescent="0.2">
      <c r="A33" s="17" t="str">
        <f>IF($E33="","",COUNT($E$5:$E33))</f>
        <v/>
      </c>
      <c r="B33" s="22"/>
      <c r="C33" s="22"/>
      <c r="D33" s="22" t="s">
        <v>12</v>
      </c>
      <c r="E33" s="23"/>
      <c r="F33" s="23"/>
      <c r="G33" s="23"/>
      <c r="H33" s="23"/>
      <c r="I33" s="23"/>
      <c r="J33" s="19" t="str">
        <f t="shared" si="0"/>
        <v/>
      </c>
      <c r="K33" s="20" t="str">
        <f>IF($E33="","",IF($D33=הנחות!$A$15,הנחות!$C$15,IF($D33=הנחות!$A$16,הנחות!$C$16,הנחות!$C$14))*הנחות!$C$19)</f>
        <v/>
      </c>
      <c r="L33" s="20" t="str">
        <f t="shared" si="1"/>
        <v/>
      </c>
      <c r="M33" s="20" t="str">
        <f t="shared" si="2"/>
        <v/>
      </c>
      <c r="N33" s="20" t="str">
        <f>IF($E33="","",IF($D33=הנחות!$A$16,הנחות!$C$16,הנחות!$C$14)*הנחות!$C$19*הנחות!$C$17)</f>
        <v/>
      </c>
      <c r="O33" s="20" t="str">
        <f t="shared" si="3"/>
        <v/>
      </c>
      <c r="P33" s="20" t="str">
        <f>IF($E33="","",הנחות!$C$15*הנחות!$C$19*הנחות!$C$18)</f>
        <v/>
      </c>
      <c r="Q33" s="20" t="str">
        <f t="shared" si="4"/>
        <v/>
      </c>
      <c r="R33" s="21" t="str">
        <f t="shared" si="5"/>
        <v/>
      </c>
      <c r="S33" s="20" t="str">
        <f>IF($E33="","",R33/(1+הנחות!$C$6))</f>
        <v/>
      </c>
    </row>
    <row r="34" spans="1:19" x14ac:dyDescent="0.2">
      <c r="A34" s="17" t="str">
        <f>IF($E34="","",COUNT($E$5:$E34))</f>
        <v/>
      </c>
      <c r="B34" s="22"/>
      <c r="C34" s="22"/>
      <c r="D34" s="22" t="s">
        <v>12</v>
      </c>
      <c r="E34" s="23"/>
      <c r="F34" s="23"/>
      <c r="G34" s="23"/>
      <c r="H34" s="23"/>
      <c r="I34" s="23"/>
      <c r="J34" s="19" t="str">
        <f t="shared" si="0"/>
        <v/>
      </c>
      <c r="K34" s="20" t="str">
        <f>IF($E34="","",IF($D34=הנחות!$A$15,הנחות!$C$15,IF($D34=הנחות!$A$16,הנחות!$C$16,הנחות!$C$14))*הנחות!$C$19)</f>
        <v/>
      </c>
      <c r="L34" s="20" t="str">
        <f t="shared" si="1"/>
        <v/>
      </c>
      <c r="M34" s="20" t="str">
        <f t="shared" si="2"/>
        <v/>
      </c>
      <c r="N34" s="20" t="str">
        <f>IF($E34="","",IF($D34=הנחות!$A$16,הנחות!$C$16,הנחות!$C$14)*הנחות!$C$19*הנחות!$C$17)</f>
        <v/>
      </c>
      <c r="O34" s="20" t="str">
        <f t="shared" si="3"/>
        <v/>
      </c>
      <c r="P34" s="20" t="str">
        <f>IF($E34="","",הנחות!$C$15*הנחות!$C$19*הנחות!$C$18)</f>
        <v/>
      </c>
      <c r="Q34" s="20" t="str">
        <f t="shared" si="4"/>
        <v/>
      </c>
      <c r="R34" s="21" t="str">
        <f t="shared" si="5"/>
        <v/>
      </c>
      <c r="S34" s="20" t="str">
        <f>IF($E34="","",R34/(1+הנחות!$C$6))</f>
        <v/>
      </c>
    </row>
    <row r="35" spans="1:19" x14ac:dyDescent="0.2">
      <c r="A35" s="2" t="s">
        <v>96</v>
      </c>
    </row>
    <row r="36" spans="1:19" x14ac:dyDescent="0.2">
      <c r="A36" s="24" t="s">
        <v>97</v>
      </c>
      <c r="B36" s="24"/>
      <c r="C36" s="24"/>
      <c r="D36" s="25" t="str">
        <f>COUNT(A5:A34)&amp;" יח״ד"</f>
        <v>18 יח״ד</v>
      </c>
      <c r="E36" s="26">
        <f t="shared" ref="E36:J36" si="6">SUM(E5:E34)</f>
        <v>1658.1399999999999</v>
      </c>
      <c r="F36" s="26">
        <f t="shared" si="6"/>
        <v>86.58</v>
      </c>
      <c r="G36" s="26">
        <f t="shared" si="6"/>
        <v>105.62</v>
      </c>
      <c r="H36" s="26">
        <f t="shared" si="6"/>
        <v>301.60000000000002</v>
      </c>
      <c r="I36" s="26">
        <f t="shared" si="6"/>
        <v>231.3</v>
      </c>
      <c r="J36" s="26">
        <f t="shared" si="6"/>
        <v>1744.7199999999998</v>
      </c>
      <c r="K36" s="24"/>
      <c r="L36" s="27">
        <f>SUM(L5:L34)</f>
        <v>45125300</v>
      </c>
      <c r="M36" s="27">
        <f>SUM(M5:M34)</f>
        <v>3335180</v>
      </c>
      <c r="N36" s="24"/>
      <c r="O36" s="27">
        <f>SUM(O5:O34)</f>
        <v>2777610</v>
      </c>
      <c r="P36" s="24"/>
      <c r="Q36" s="27">
        <f>SUM(Q5:Q34)</f>
        <v>1561275</v>
      </c>
      <c r="R36" s="27">
        <f>SUM(R5:R34)</f>
        <v>52799365</v>
      </c>
      <c r="S36" s="27">
        <f>SUM(S5:S34)</f>
        <v>44745224.576271176</v>
      </c>
    </row>
    <row r="38" spans="1:19" x14ac:dyDescent="0.2">
      <c r="A38" s="2" t="s">
        <v>98</v>
      </c>
    </row>
    <row r="39" spans="1:19" x14ac:dyDescent="0.2">
      <c r="A39" s="2" t="s">
        <v>99</v>
      </c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הנחות!$A$14:$A$16</xm:f>
          </x14:formula1>
          <xm:sqref>D5:D34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rightToLeft="1" workbookViewId="0"/>
  </sheetViews>
  <sheetFormatPr defaultRowHeight="14.25" x14ac:dyDescent="0.2"/>
  <cols>
    <col min="1" max="1" width="44" customWidth="1"/>
    <col min="2" max="3" width="16" customWidth="1"/>
    <col min="4" max="4" width="18" customWidth="1"/>
    <col min="5" max="5" width="13" customWidth="1"/>
    <col min="6" max="6" width="30" customWidth="1"/>
  </cols>
  <sheetData>
    <row r="1" spans="1:5" ht="18" x14ac:dyDescent="0.25">
      <c r="A1" s="1" t="s">
        <v>100</v>
      </c>
    </row>
    <row r="2" spans="1:5" x14ac:dyDescent="0.2">
      <c r="A2" s="2" t="s">
        <v>101</v>
      </c>
    </row>
    <row r="4" spans="1:5" ht="15" x14ac:dyDescent="0.25">
      <c r="A4" s="3" t="s">
        <v>102</v>
      </c>
    </row>
    <row r="5" spans="1:5" ht="30" customHeight="1" x14ac:dyDescent="0.2">
      <c r="A5" s="16" t="s">
        <v>103</v>
      </c>
      <c r="B5" s="16" t="s">
        <v>104</v>
      </c>
      <c r="C5" s="16" t="s">
        <v>105</v>
      </c>
      <c r="D5" s="16" t="s">
        <v>106</v>
      </c>
      <c r="E5" s="16" t="s">
        <v>107</v>
      </c>
    </row>
    <row r="6" spans="1:5" x14ac:dyDescent="0.2">
      <c r="A6" s="28" t="s">
        <v>29</v>
      </c>
      <c r="B6" s="29">
        <f>(דירות!E36+הנחות!$C$22+הנחות!$C$24)*הנחות!$C$25</f>
        <v>1948.1899999999998</v>
      </c>
      <c r="C6" s="30">
        <f>הנחות!$C$28</f>
        <v>8000</v>
      </c>
      <c r="D6" s="20">
        <f>B6*C6</f>
        <v>15585519.999999998</v>
      </c>
      <c r="E6" s="31">
        <f t="shared" ref="E6:E11" si="0">IFERROR(D6/$D$11,0)</f>
        <v>0.79496908726719806</v>
      </c>
    </row>
    <row r="7" spans="1:5" x14ac:dyDescent="0.2">
      <c r="A7" s="28" t="s">
        <v>30</v>
      </c>
      <c r="B7" s="29">
        <f>דירות!H36</f>
        <v>301.60000000000002</v>
      </c>
      <c r="C7" s="30">
        <f>הנחות!$C$29</f>
        <v>3500</v>
      </c>
      <c r="D7" s="20">
        <f>B7*C7</f>
        <v>1055600</v>
      </c>
      <c r="E7" s="31">
        <f t="shared" si="0"/>
        <v>5.3842885480834414E-2</v>
      </c>
    </row>
    <row r="8" spans="1:5" x14ac:dyDescent="0.2">
      <c r="A8" s="28" t="s">
        <v>31</v>
      </c>
      <c r="B8" s="29">
        <f>דירות!I36</f>
        <v>231.3</v>
      </c>
      <c r="C8" s="30">
        <f>הנחות!$C$30</f>
        <v>1500</v>
      </c>
      <c r="D8" s="20">
        <f>B8*C8</f>
        <v>346950</v>
      </c>
      <c r="E8" s="31">
        <f t="shared" si="0"/>
        <v>1.7696844560037419E-2</v>
      </c>
    </row>
    <row r="9" spans="1:5" x14ac:dyDescent="0.2">
      <c r="A9" s="28" t="s">
        <v>32</v>
      </c>
      <c r="B9" s="29">
        <f>דירות!F36+דירות!G36</f>
        <v>192.2</v>
      </c>
      <c r="C9" s="30">
        <f>הנחות!$C$31</f>
        <v>5500</v>
      </c>
      <c r="D9" s="20">
        <f>B9*C9</f>
        <v>1057100</v>
      </c>
      <c r="E9" s="31">
        <f t="shared" si="0"/>
        <v>5.3919395833450227E-2</v>
      </c>
    </row>
    <row r="10" spans="1:5" x14ac:dyDescent="0.2">
      <c r="A10" s="28" t="s">
        <v>24</v>
      </c>
      <c r="B10" s="29">
        <f>הנחות!$C$23</f>
        <v>283.64</v>
      </c>
      <c r="C10" s="30">
        <f>הנחות!$C$32</f>
        <v>5500</v>
      </c>
      <c r="D10" s="20">
        <f>B10*C10</f>
        <v>1560020</v>
      </c>
      <c r="E10" s="31">
        <f t="shared" si="0"/>
        <v>7.957178685847982E-2</v>
      </c>
    </row>
    <row r="11" spans="1:5" x14ac:dyDescent="0.2">
      <c r="A11" s="24" t="s">
        <v>108</v>
      </c>
      <c r="B11" s="26">
        <f>SUM(B6:B10)</f>
        <v>2956.93</v>
      </c>
      <c r="C11" s="24"/>
      <c r="D11" s="27">
        <f>SUM(D6:D10)</f>
        <v>19605190</v>
      </c>
      <c r="E11" s="32">
        <f t="shared" si="0"/>
        <v>1</v>
      </c>
    </row>
    <row r="13" spans="1:5" ht="15" x14ac:dyDescent="0.25">
      <c r="A13" s="3" t="s">
        <v>109</v>
      </c>
    </row>
    <row r="14" spans="1:5" ht="30" customHeight="1" x14ac:dyDescent="0.2">
      <c r="A14" s="16" t="s">
        <v>103</v>
      </c>
      <c r="B14" s="16" t="s">
        <v>110</v>
      </c>
      <c r="C14" s="16" t="s">
        <v>111</v>
      </c>
      <c r="D14" s="16" t="s">
        <v>106</v>
      </c>
      <c r="E14" s="16" t="s">
        <v>112</v>
      </c>
    </row>
    <row r="15" spans="1:5" x14ac:dyDescent="0.2">
      <c r="A15" s="28" t="s">
        <v>113</v>
      </c>
      <c r="B15" s="33">
        <f>B6+B7+B9+B10</f>
        <v>2725.6299999999997</v>
      </c>
      <c r="C15" s="30">
        <f>הנחות!$C$35</f>
        <v>550</v>
      </c>
      <c r="D15" s="20">
        <f>B15*C15</f>
        <v>1499096.4999999998</v>
      </c>
      <c r="E15" s="34" t="s">
        <v>114</v>
      </c>
    </row>
    <row r="16" spans="1:5" x14ac:dyDescent="0.2">
      <c r="A16" s="28" t="s">
        <v>35</v>
      </c>
      <c r="B16" s="33">
        <f>$D$11</f>
        <v>19605190</v>
      </c>
      <c r="C16" s="35">
        <f>הנחות!$C$36</f>
        <v>0.03</v>
      </c>
      <c r="D16" s="20">
        <f>B16*C16</f>
        <v>588155.69999999995</v>
      </c>
      <c r="E16" s="34" t="s">
        <v>114</v>
      </c>
    </row>
    <row r="17" spans="1:5" x14ac:dyDescent="0.2">
      <c r="A17" s="28" t="s">
        <v>37</v>
      </c>
      <c r="B17" s="33">
        <f>סיכום!$C$7</f>
        <v>44745224.576271191</v>
      </c>
      <c r="C17" s="35">
        <f>הנחות!$C$37</f>
        <v>1.4999999999999999E-2</v>
      </c>
      <c r="D17" s="20">
        <f>B17*C17</f>
        <v>671178.3686440679</v>
      </c>
      <c r="E17" s="34" t="s">
        <v>115</v>
      </c>
    </row>
    <row r="18" spans="1:5" x14ac:dyDescent="0.2">
      <c r="A18" s="28" t="s">
        <v>39</v>
      </c>
      <c r="B18" s="33">
        <f>סיכום!$C$7</f>
        <v>44745224.576271191</v>
      </c>
      <c r="C18" s="35">
        <f>הנחות!$C$38</f>
        <v>1.4999999999999999E-2</v>
      </c>
      <c r="D18" s="20">
        <f>B18*C18</f>
        <v>671178.3686440679</v>
      </c>
      <c r="E18" s="34" t="s">
        <v>115</v>
      </c>
    </row>
    <row r="19" spans="1:5" x14ac:dyDescent="0.2">
      <c r="A19" s="28" t="s">
        <v>40</v>
      </c>
      <c r="B19" s="33">
        <f>$D$11</f>
        <v>19605190</v>
      </c>
      <c r="C19" s="35">
        <f>הנחות!$C$39</f>
        <v>0.04</v>
      </c>
      <c r="D19" s="20">
        <f>B19*C19</f>
        <v>784207.6</v>
      </c>
      <c r="E19" s="34" t="s">
        <v>114</v>
      </c>
    </row>
    <row r="20" spans="1:5" x14ac:dyDescent="0.2">
      <c r="A20" s="28" t="s">
        <v>116</v>
      </c>
      <c r="B20" s="33">
        <f>$D$11</f>
        <v>19605190</v>
      </c>
      <c r="C20" s="35">
        <f>הנחות!$C$40</f>
        <v>0.03</v>
      </c>
      <c r="D20" s="20">
        <f>B20*C20*הנחות!$C$41</f>
        <v>1176311.3999999999</v>
      </c>
      <c r="E20" s="34" t="s">
        <v>114</v>
      </c>
    </row>
    <row r="21" spans="1:5" x14ac:dyDescent="0.2">
      <c r="A21" s="28" t="s">
        <v>117</v>
      </c>
      <c r="B21" s="33">
        <f>הנחות!$C$11</f>
        <v>18</v>
      </c>
      <c r="C21" s="30">
        <f>הנחות!$C$42</f>
        <v>3500</v>
      </c>
      <c r="D21" s="20">
        <f>B21*C21</f>
        <v>63000</v>
      </c>
      <c r="E21" s="34" t="s">
        <v>114</v>
      </c>
    </row>
    <row r="22" spans="1:5" x14ac:dyDescent="0.2">
      <c r="A22" s="28" t="s">
        <v>44</v>
      </c>
      <c r="B22" s="33">
        <f>$D$11</f>
        <v>19605190</v>
      </c>
      <c r="C22" s="35">
        <f>הנחות!$C$43</f>
        <v>8.0000000000000002E-3</v>
      </c>
      <c r="D22" s="20">
        <f>B22*C22</f>
        <v>156841.51999999999</v>
      </c>
      <c r="E22" s="34" t="s">
        <v>114</v>
      </c>
    </row>
    <row r="23" spans="1:5" x14ac:dyDescent="0.2">
      <c r="A23" s="28" t="s">
        <v>45</v>
      </c>
      <c r="B23" s="33">
        <f>סיכום!$C$6</f>
        <v>52799365</v>
      </c>
      <c r="C23" s="35">
        <f>הנחות!$C$44</f>
        <v>8.0000000000000002E-3</v>
      </c>
      <c r="D23" s="20">
        <f>B23*C23</f>
        <v>422394.92</v>
      </c>
      <c r="E23" s="34" t="s">
        <v>115</v>
      </c>
    </row>
    <row r="24" spans="1:5" x14ac:dyDescent="0.2">
      <c r="A24" s="28" t="s">
        <v>47</v>
      </c>
      <c r="B24" s="33">
        <f>$D$11</f>
        <v>19605190</v>
      </c>
      <c r="C24" s="35">
        <f>הנחות!$C$45</f>
        <v>0.05</v>
      </c>
      <c r="D24" s="20">
        <f>B24*C24</f>
        <v>980259.5</v>
      </c>
      <c r="E24" s="34" t="s">
        <v>114</v>
      </c>
    </row>
    <row r="25" spans="1:5" x14ac:dyDescent="0.2">
      <c r="A25" s="28" t="s">
        <v>48</v>
      </c>
      <c r="B25" s="33"/>
      <c r="C25" s="30"/>
      <c r="D25" s="30">
        <f>הנחות!$C$46</f>
        <v>0</v>
      </c>
      <c r="E25" s="34" t="s">
        <v>114</v>
      </c>
    </row>
    <row r="26" spans="1:5" x14ac:dyDescent="0.2">
      <c r="A26" s="28" t="s">
        <v>49</v>
      </c>
      <c r="B26" s="33"/>
      <c r="C26" s="30"/>
      <c r="D26" s="30">
        <f>הנחות!$C$47</f>
        <v>0</v>
      </c>
      <c r="E26" s="34" t="s">
        <v>114</v>
      </c>
    </row>
    <row r="27" spans="1:5" x14ac:dyDescent="0.2">
      <c r="A27" s="24" t="s">
        <v>118</v>
      </c>
      <c r="B27" s="24"/>
      <c r="C27" s="24"/>
      <c r="D27" s="27">
        <f>SUM(D15:D26)</f>
        <v>7012623.8772881348</v>
      </c>
      <c r="E27" s="24"/>
    </row>
    <row r="28" spans="1:5" x14ac:dyDescent="0.2">
      <c r="A28" s="4" t="s">
        <v>119</v>
      </c>
      <c r="D28" s="36">
        <f>SUMIF($E$15:$E$26,"בנייה",$D$15:$D$26)</f>
        <v>5247872.22</v>
      </c>
    </row>
    <row r="29" spans="1:5" x14ac:dyDescent="0.2">
      <c r="A29" s="4" t="s">
        <v>120</v>
      </c>
      <c r="D29" s="36">
        <f>SUMIF($E$15:$E$26,"מכירות",$D$15:$D$26)</f>
        <v>1764751.6572881357</v>
      </c>
    </row>
    <row r="31" spans="1:5" ht="15" x14ac:dyDescent="0.25">
      <c r="A31" s="3" t="s">
        <v>121</v>
      </c>
    </row>
    <row r="32" spans="1:5" ht="30" customHeight="1" x14ac:dyDescent="0.2">
      <c r="A32" s="16" t="s">
        <v>103</v>
      </c>
      <c r="B32" s="16" t="s">
        <v>122</v>
      </c>
      <c r="C32" s="16" t="s">
        <v>123</v>
      </c>
      <c r="D32" s="16" t="s">
        <v>97</v>
      </c>
    </row>
    <row r="33" spans="1:5" x14ac:dyDescent="0.2">
      <c r="A33" s="28" t="s">
        <v>51</v>
      </c>
      <c r="B33" s="28"/>
      <c r="C33" s="28"/>
      <c r="D33" s="30">
        <f>הנחות!$C$50</f>
        <v>8500000</v>
      </c>
    </row>
    <row r="34" spans="1:5" x14ac:dyDescent="0.2">
      <c r="A34" s="28" t="s">
        <v>52</v>
      </c>
      <c r="B34" s="30">
        <f>הנחות!$C$50</f>
        <v>8500000</v>
      </c>
      <c r="C34" s="37">
        <f>הנחות!$C$51</f>
        <v>0.06</v>
      </c>
      <c r="D34" s="20">
        <f>B34*C34</f>
        <v>510000</v>
      </c>
    </row>
    <row r="35" spans="1:5" x14ac:dyDescent="0.2">
      <c r="A35" s="28" t="s">
        <v>53</v>
      </c>
      <c r="B35" s="28"/>
      <c r="C35" s="28"/>
      <c r="D35" s="30">
        <f>הנחות!$C$52</f>
        <v>250000</v>
      </c>
    </row>
    <row r="36" spans="1:5" x14ac:dyDescent="0.2">
      <c r="A36" s="28" t="s">
        <v>54</v>
      </c>
      <c r="B36" s="28"/>
      <c r="C36" s="28"/>
      <c r="D36" s="30">
        <f>הנחות!$C$53</f>
        <v>0</v>
      </c>
    </row>
    <row r="37" spans="1:5" x14ac:dyDescent="0.2">
      <c r="A37" s="24" t="s">
        <v>124</v>
      </c>
      <c r="B37" s="24"/>
      <c r="C37" s="24"/>
      <c r="D37" s="27">
        <f>SUM(D33:D36)</f>
        <v>9260000</v>
      </c>
    </row>
    <row r="39" spans="1:5" ht="15" x14ac:dyDescent="0.25">
      <c r="A39" s="38" t="s">
        <v>125</v>
      </c>
      <c r="B39" s="39"/>
      <c r="C39" s="39"/>
      <c r="D39" s="40">
        <f>D11+D27+D37</f>
        <v>35877813.877288133</v>
      </c>
      <c r="E39" s="3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showGridLines="0" rightToLeft="1" workbookViewId="0"/>
  </sheetViews>
  <sheetFormatPr defaultRowHeight="14.25" x14ac:dyDescent="0.2"/>
  <cols>
    <col min="1" max="1" width="42" customWidth="1"/>
    <col min="2" max="2" width="3" customWidth="1"/>
    <col min="3" max="3" width="18" customWidth="1"/>
    <col min="4" max="4" width="14" customWidth="1"/>
    <col min="5" max="5" width="3" customWidth="1"/>
    <col min="6" max="6" width="34" customWidth="1"/>
  </cols>
  <sheetData>
    <row r="1" spans="1:4" ht="18" x14ac:dyDescent="0.25">
      <c r="A1" s="1" t="s">
        <v>126</v>
      </c>
    </row>
    <row r="2" spans="1:4" x14ac:dyDescent="0.2">
      <c r="A2" s="2" t="s">
        <v>127</v>
      </c>
    </row>
    <row r="4" spans="1:4" ht="15" x14ac:dyDescent="0.25">
      <c r="A4" s="3" t="s">
        <v>128</v>
      </c>
    </row>
    <row r="5" spans="1:4" x14ac:dyDescent="0.2">
      <c r="A5" s="4" t="s">
        <v>10</v>
      </c>
      <c r="C5" s="41">
        <f>הנחות!$C$11</f>
        <v>18</v>
      </c>
    </row>
    <row r="6" spans="1:4" x14ac:dyDescent="0.2">
      <c r="A6" s="4" t="s">
        <v>129</v>
      </c>
      <c r="C6" s="30">
        <f>דירות!R36</f>
        <v>52799365</v>
      </c>
    </row>
    <row r="7" spans="1:4" x14ac:dyDescent="0.2">
      <c r="A7" s="7" t="s">
        <v>130</v>
      </c>
      <c r="C7" s="42">
        <f>C6/(1+הנחות!$C$6)</f>
        <v>44745224.576271191</v>
      </c>
      <c r="D7" s="31">
        <f>C7/$C$7</f>
        <v>1</v>
      </c>
    </row>
    <row r="8" spans="1:4" x14ac:dyDescent="0.2">
      <c r="A8" s="4" t="s">
        <v>131</v>
      </c>
      <c r="C8" s="20">
        <f>IFERROR(C6/C5,0)</f>
        <v>2933298.0555555555</v>
      </c>
    </row>
    <row r="9" spans="1:4" x14ac:dyDescent="0.2">
      <c r="A9" s="4" t="s">
        <v>132</v>
      </c>
      <c r="C9" s="20">
        <f>IFERROR(C6/דירות!E36,0)</f>
        <v>31842.525359740433</v>
      </c>
    </row>
    <row r="11" spans="1:4" ht="15" x14ac:dyDescent="0.25">
      <c r="A11" s="3" t="s">
        <v>133</v>
      </c>
    </row>
    <row r="12" spans="1:4" x14ac:dyDescent="0.2">
      <c r="A12" s="4" t="s">
        <v>134</v>
      </c>
      <c r="C12" s="30">
        <f>עלויות!$D$37</f>
        <v>9260000</v>
      </c>
      <c r="D12" s="31">
        <f>C12/$C$7</f>
        <v>0.20694945857776886</v>
      </c>
    </row>
    <row r="13" spans="1:4" x14ac:dyDescent="0.2">
      <c r="A13" s="4" t="s">
        <v>135</v>
      </c>
      <c r="C13" s="30">
        <f>עלויות!$D$11</f>
        <v>19605190</v>
      </c>
      <c r="D13" s="31">
        <f>C13/$C$7</f>
        <v>0.43815156110305487</v>
      </c>
    </row>
    <row r="14" spans="1:4" x14ac:dyDescent="0.2">
      <c r="A14" s="4" t="s">
        <v>136</v>
      </c>
      <c r="C14" s="30">
        <f>עלויות!$D$27</f>
        <v>7012623.8772881348</v>
      </c>
      <c r="D14" s="31">
        <f>C14/$C$7</f>
        <v>0.15672340330608139</v>
      </c>
    </row>
    <row r="15" spans="1:4" x14ac:dyDescent="0.2">
      <c r="A15" s="24" t="s">
        <v>125</v>
      </c>
      <c r="C15" s="27">
        <f>SUM(C12:C14)</f>
        <v>35877813.877288133</v>
      </c>
      <c r="D15" s="43">
        <f>C15/$C$7</f>
        <v>0.80182442298690504</v>
      </c>
    </row>
    <row r="17" spans="1:6" ht="15.75" x14ac:dyDescent="0.25">
      <c r="A17" s="44" t="s">
        <v>137</v>
      </c>
      <c r="B17" s="39"/>
      <c r="C17" s="45">
        <f>C7-C15</f>
        <v>8867410.6989830583</v>
      </c>
      <c r="D17" s="46">
        <f>IFERROR(C17/C7,0)</f>
        <v>0.19817557701309491</v>
      </c>
    </row>
    <row r="20" spans="1:6" ht="15" x14ac:dyDescent="0.25">
      <c r="A20" s="3" t="s">
        <v>138</v>
      </c>
    </row>
    <row r="21" spans="1:6" x14ac:dyDescent="0.2">
      <c r="A21" s="4" t="s">
        <v>139</v>
      </c>
      <c r="C21" s="47">
        <f>IFERROR(C17/C15,0)</f>
        <v>0.24715582530507604</v>
      </c>
      <c r="F21" s="2" t="s">
        <v>140</v>
      </c>
    </row>
    <row r="22" spans="1:6" x14ac:dyDescent="0.2">
      <c r="A22" s="4" t="s">
        <v>141</v>
      </c>
      <c r="C22" s="47">
        <f>IFERROR(C17/C7,0)</f>
        <v>0.19817557701309491</v>
      </c>
      <c r="F22" s="2" t="s">
        <v>142</v>
      </c>
    </row>
    <row r="23" spans="1:6" x14ac:dyDescent="0.2">
      <c r="A23" s="4" t="s">
        <v>143</v>
      </c>
      <c r="C23" s="36">
        <f>IFERROR(C15/C5,0)</f>
        <v>1993211.882071563</v>
      </c>
    </row>
    <row r="24" spans="1:6" x14ac:dyDescent="0.2">
      <c r="A24" s="4" t="s">
        <v>144</v>
      </c>
      <c r="C24" s="36">
        <f>IFERROR(C17/C5,0)</f>
        <v>492633.92772128101</v>
      </c>
    </row>
    <row r="25" spans="1:6" x14ac:dyDescent="0.2">
      <c r="A25" s="4" t="s">
        <v>145</v>
      </c>
      <c r="C25" s="36">
        <f>IFERROR(עלויות!D11/עלויות!B11,0)</f>
        <v>6630.2516461329833</v>
      </c>
    </row>
    <row r="27" spans="1:6" ht="15" x14ac:dyDescent="0.25">
      <c r="A27" s="3" t="s">
        <v>146</v>
      </c>
    </row>
    <row r="28" spans="1:6" x14ac:dyDescent="0.2">
      <c r="A28" s="4" t="s">
        <v>147</v>
      </c>
      <c r="C28" s="20">
        <f>C15*הנחות!$C$56</f>
        <v>8969453.4693220332</v>
      </c>
    </row>
    <row r="29" spans="1:6" x14ac:dyDescent="0.2">
      <c r="A29" s="4" t="s">
        <v>148</v>
      </c>
      <c r="C29" s="31">
        <f>IFERROR(C28/C15,0)</f>
        <v>0.25</v>
      </c>
      <c r="F29" s="2" t="s">
        <v>149</v>
      </c>
    </row>
    <row r="30" spans="1:6" x14ac:dyDescent="0.2">
      <c r="A30" s="4" t="s">
        <v>150</v>
      </c>
      <c r="C30" s="20">
        <f>MAX(0,C15-C28)</f>
        <v>26908360.4079661</v>
      </c>
      <c r="F30" s="2" t="s">
        <v>151</v>
      </c>
    </row>
    <row r="31" spans="1:6" x14ac:dyDescent="0.2">
      <c r="A31" s="4" t="s">
        <v>152</v>
      </c>
      <c r="C31" s="30">
        <f>תזרים!$N$16</f>
        <v>0</v>
      </c>
      <c r="F31" s="2" t="s">
        <v>153</v>
      </c>
    </row>
    <row r="32" spans="1:6" x14ac:dyDescent="0.2">
      <c r="A32" s="4" t="s">
        <v>154</v>
      </c>
      <c r="C32" s="31">
        <f>IFERROR(C17/C28,0)</f>
        <v>0.98862330122030417</v>
      </c>
    </row>
    <row r="33" spans="1:6" x14ac:dyDescent="0.2">
      <c r="A33" s="4" t="s">
        <v>155</v>
      </c>
      <c r="C33" s="31">
        <f>IFERROR((1+C32)^(12/הנחות!$C$10)-1,0)</f>
        <v>0.28399861160368345</v>
      </c>
    </row>
    <row r="34" spans="1:6" x14ac:dyDescent="0.2">
      <c r="A34" s="4" t="s">
        <v>59</v>
      </c>
      <c r="C34" s="20">
        <f>C6*הנחות!$C$58</f>
        <v>18479777.75</v>
      </c>
    </row>
    <row r="35" spans="1:6" x14ac:dyDescent="0.2">
      <c r="A35" s="4" t="s">
        <v>156</v>
      </c>
      <c r="C35" s="20">
        <f>C7-C15</f>
        <v>8867410.6989830583</v>
      </c>
      <c r="F35" s="2" t="s">
        <v>157</v>
      </c>
    </row>
    <row r="36" spans="1:6" x14ac:dyDescent="0.2">
      <c r="A36" s="4" t="s">
        <v>158</v>
      </c>
      <c r="C36" s="48">
        <f>IFERROR(C7/C30,0)</f>
        <v>1.6628744337401014</v>
      </c>
      <c r="F36" s="2" t="s">
        <v>159</v>
      </c>
    </row>
    <row r="38" spans="1:6" ht="15" x14ac:dyDescent="0.25">
      <c r="A38" s="3" t="s">
        <v>160</v>
      </c>
      <c r="F38" s="2" t="s">
        <v>161</v>
      </c>
    </row>
    <row r="39" spans="1:6" x14ac:dyDescent="0.2">
      <c r="A39" s="4" t="s">
        <v>162</v>
      </c>
      <c r="C39" s="20">
        <f>C7*(הנחות!$C$37+הנחות!$C$38)+C6*הנחות!$C$44</f>
        <v>1764751.6572881357</v>
      </c>
    </row>
    <row r="40" spans="1:6" x14ac:dyDescent="0.2">
      <c r="A40" s="4" t="s">
        <v>163</v>
      </c>
      <c r="C40" s="20">
        <f>C15-C39</f>
        <v>34113062.219999999</v>
      </c>
    </row>
    <row r="41" spans="1:6" x14ac:dyDescent="0.2">
      <c r="A41" s="7" t="s">
        <v>164</v>
      </c>
      <c r="C41" s="49">
        <f>IFERROR(C40/(C7-C39),0)</f>
        <v>0.79368745626187343</v>
      </c>
    </row>
    <row r="42" spans="1:6" x14ac:dyDescent="0.2">
      <c r="A42" s="4" t="s">
        <v>165</v>
      </c>
      <c r="C42" s="31">
        <f>1-C41</f>
        <v>0.20631254373812657</v>
      </c>
    </row>
    <row r="43" spans="1:6" x14ac:dyDescent="0.2">
      <c r="A43" s="4" t="s">
        <v>166</v>
      </c>
      <c r="C43" s="20">
        <f>הנחות!$C$14*הנחות!$C$19*C41</f>
        <v>19842.186406546836</v>
      </c>
    </row>
    <row r="44" spans="1:6" x14ac:dyDescent="0.2">
      <c r="A44" s="4" t="s">
        <v>167</v>
      </c>
      <c r="C44" s="31">
        <f>IFERROR((C15-C28)/C7,0)</f>
        <v>0.60136831724017881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34" customWidth="1"/>
    <col min="2" max="12" width="12" customWidth="1"/>
    <col min="13" max="13" width="14" customWidth="1"/>
  </cols>
  <sheetData>
    <row r="1" spans="1:13" ht="18" x14ac:dyDescent="0.25">
      <c r="A1" s="1" t="s">
        <v>168</v>
      </c>
    </row>
    <row r="2" spans="1:13" x14ac:dyDescent="0.2">
      <c r="A2" s="2" t="s">
        <v>169</v>
      </c>
    </row>
    <row r="4" spans="1:13" ht="30" customHeight="1" x14ac:dyDescent="0.2">
      <c r="A4" s="16" t="s">
        <v>170</v>
      </c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  <c r="H4" s="16" t="s">
        <v>177</v>
      </c>
      <c r="I4" s="16" t="s">
        <v>178</v>
      </c>
      <c r="J4" s="16" t="s">
        <v>179</v>
      </c>
      <c r="K4" s="16" t="s">
        <v>180</v>
      </c>
      <c r="L4" s="16" t="s">
        <v>181</v>
      </c>
      <c r="M4" s="16" t="s">
        <v>97</v>
      </c>
    </row>
    <row r="5" spans="1:13" x14ac:dyDescent="0.2">
      <c r="A5" s="50" t="s">
        <v>182</v>
      </c>
      <c r="B5" s="51">
        <v>3.0000000000000001E-3</v>
      </c>
      <c r="C5" s="51">
        <v>3.0000000000000001E-3</v>
      </c>
      <c r="D5" s="51">
        <v>3.9E-2</v>
      </c>
      <c r="E5" s="51">
        <v>8.900000000000001E-2</v>
      </c>
      <c r="F5" s="51">
        <v>0.13</v>
      </c>
      <c r="G5" s="51">
        <v>0.156</v>
      </c>
      <c r="H5" s="51">
        <v>0.16600000000000001</v>
      </c>
      <c r="I5" s="51">
        <v>0.156</v>
      </c>
      <c r="J5" s="51">
        <v>0.13</v>
      </c>
      <c r="K5" s="51">
        <v>8.900000000000001E-2</v>
      </c>
      <c r="L5" s="51">
        <v>3.9E-2</v>
      </c>
      <c r="M5" s="52">
        <f>SUM(B5:L5)</f>
        <v>1</v>
      </c>
    </row>
    <row r="6" spans="1:13" x14ac:dyDescent="0.2">
      <c r="A6" s="50" t="s">
        <v>183</v>
      </c>
      <c r="B6" s="51">
        <v>0</v>
      </c>
      <c r="C6" s="51">
        <v>0</v>
      </c>
      <c r="D6" s="51">
        <v>9.0000000000000011E-3</v>
      </c>
      <c r="E6" s="51">
        <v>2.5999999999999999E-2</v>
      </c>
      <c r="F6" s="51">
        <v>4.7E-2</v>
      </c>
      <c r="G6" s="51">
        <v>7.2000000000000008E-2</v>
      </c>
      <c r="H6" s="51">
        <v>0.10100000000000001</v>
      </c>
      <c r="I6" s="51">
        <v>0.13200000000000001</v>
      </c>
      <c r="J6" s="51">
        <v>0.16700000000000001</v>
      </c>
      <c r="K6" s="51">
        <v>0.20399999999999999</v>
      </c>
      <c r="L6" s="51">
        <v>0.24299999999999999</v>
      </c>
      <c r="M6" s="52">
        <f>SUM(B6:L6)</f>
        <v>1.0009999999999999</v>
      </c>
    </row>
    <row r="8" spans="1:13" x14ac:dyDescent="0.2">
      <c r="A8" s="28" t="s">
        <v>50</v>
      </c>
      <c r="B8" s="20">
        <f>IF(1=1,-עלויות!$D$37,0)</f>
        <v>-9260000</v>
      </c>
      <c r="C8" s="20">
        <f>IF(2=1,-עלויות!$D$37,0)</f>
        <v>0</v>
      </c>
      <c r="D8" s="20">
        <f>IF(3=1,-עלויות!$D$37,0)</f>
        <v>0</v>
      </c>
      <c r="E8" s="20">
        <f>IF(4=1,-עלויות!$D$37,0)</f>
        <v>0</v>
      </c>
      <c r="F8" s="20">
        <f>IF(5=1,-עלויות!$D$37,0)</f>
        <v>0</v>
      </c>
      <c r="G8" s="20">
        <f>IF(6=1,-עלויות!$D$37,0)</f>
        <v>0</v>
      </c>
      <c r="H8" s="20">
        <f>IF(7=1,-עלויות!$D$37,0)</f>
        <v>0</v>
      </c>
      <c r="I8" s="20">
        <f>IF(8=1,-עלויות!$D$37,0)</f>
        <v>0</v>
      </c>
      <c r="J8" s="20">
        <f>IF(9=1,-עלויות!$D$37,0)</f>
        <v>0</v>
      </c>
      <c r="K8" s="20">
        <f>IF(10=1,-עלויות!$D$37,0)</f>
        <v>0</v>
      </c>
      <c r="L8" s="20">
        <f>IF(11=1,-עלויות!$D$37,0)</f>
        <v>0</v>
      </c>
      <c r="M8" s="21">
        <f t="shared" ref="M8:M13" si="0">SUM(B8:L8)</f>
        <v>-9260000</v>
      </c>
    </row>
    <row r="9" spans="1:13" x14ac:dyDescent="0.2">
      <c r="A9" s="28" t="s">
        <v>135</v>
      </c>
      <c r="B9" s="20">
        <f>-עלויות!$D$11*B$5/SUM($B$5:$L$5)</f>
        <v>-58815.57</v>
      </c>
      <c r="C9" s="20">
        <f>-עלויות!$D$11*C$5/SUM($B$5:$L$5)</f>
        <v>-58815.57</v>
      </c>
      <c r="D9" s="20">
        <f>-עלויות!$D$11*D$5/SUM($B$5:$L$5)</f>
        <v>-764602.41</v>
      </c>
      <c r="E9" s="20">
        <f>-עלויות!$D$11*E$5/SUM($B$5:$L$5)</f>
        <v>-1744861.9100000001</v>
      </c>
      <c r="F9" s="20">
        <f>-עלויות!$D$11*F$5/SUM($B$5:$L$5)</f>
        <v>-2548674.7000000002</v>
      </c>
      <c r="G9" s="20">
        <f>-עלויות!$D$11*G$5/SUM($B$5:$L$5)</f>
        <v>-3058409.64</v>
      </c>
      <c r="H9" s="20">
        <f>-עלויות!$D$11*H$5/SUM($B$5:$L$5)</f>
        <v>-3254461.54</v>
      </c>
      <c r="I9" s="20">
        <f>-עלויות!$D$11*I$5/SUM($B$5:$L$5)</f>
        <v>-3058409.64</v>
      </c>
      <c r="J9" s="20">
        <f>-עלויות!$D$11*J$5/SUM($B$5:$L$5)</f>
        <v>-2548674.7000000002</v>
      </c>
      <c r="K9" s="20">
        <f>-עלויות!$D$11*K$5/SUM($B$5:$L$5)</f>
        <v>-1744861.9100000001</v>
      </c>
      <c r="L9" s="20">
        <f>-עלויות!$D$11*L$5/SUM($B$5:$L$5)</f>
        <v>-764602.41</v>
      </c>
      <c r="M9" s="21">
        <f t="shared" si="0"/>
        <v>-19605190</v>
      </c>
    </row>
    <row r="10" spans="1:13" x14ac:dyDescent="0.2">
      <c r="A10" s="28" t="s">
        <v>33</v>
      </c>
      <c r="B10" s="20">
        <f>-(עלויות!$D$28*B$5/SUM($B$5:$L$5)+עלויות!$D$29*B$6/SUM($B$6:$L$6))</f>
        <v>-15743.61666</v>
      </c>
      <c r="C10" s="20">
        <f>-(עלויות!$D$28*C$5/SUM($B$5:$L$5)+עלויות!$D$29*C$6/SUM($B$6:$L$6))</f>
        <v>-15743.61666</v>
      </c>
      <c r="D10" s="20">
        <f>-(עלויות!$D$28*D$5/SUM($B$5:$L$5)+עלויות!$D$29*D$6/SUM($B$6:$L$6))</f>
        <v>-220533.91459757564</v>
      </c>
      <c r="E10" s="20">
        <f>-(עלויות!$D$28*E$5/SUM($B$5:$L$5)+עלויות!$D$29*E$6/SUM($B$6:$L$6))</f>
        <v>-512898.33296410745</v>
      </c>
      <c r="F10" s="20">
        <f>-(עלויות!$D$28*F$5/SUM($B$5:$L$5)+עלויות!$D$29*F$6/SUM($B$6:$L$6))</f>
        <v>-765083.85602511722</v>
      </c>
      <c r="G10" s="20">
        <f>-(עלויות!$D$28*G$5/SUM($B$5:$L$5)+עלויות!$D$29*G$6/SUM($B$6:$L$6))</f>
        <v>-945603.25046060514</v>
      </c>
      <c r="H10" s="20">
        <f>-(עלויות!$D$28*H$5/SUM($B$5:$L$5)+עלויות!$D$29*H$6/SUM($B$6:$L$6))</f>
        <v>-1049208.6440505711</v>
      </c>
      <c r="I10" s="20">
        <f>-(עלויות!$D$28*I$5/SUM($B$5:$L$5)+עלויות!$D$29*I$6/SUM($B$6:$L$6))</f>
        <v>-1051382.5705777761</v>
      </c>
      <c r="J10" s="20">
        <f>-(עלויות!$D$28*J$5/SUM($B$5:$L$5)+עלויות!$D$29*J$6/SUM($B$6:$L$6))</f>
        <v>-976642.49625945918</v>
      </c>
      <c r="K10" s="20">
        <f>-(עלויות!$D$28*K$5/SUM($B$5:$L$5)+עלויות!$D$29*K$6/SUM($B$6:$L$6))</f>
        <v>-826710.31597838132</v>
      </c>
      <c r="L10" s="20">
        <f>-(עלויות!$D$28*L$5/SUM($B$5:$L$5)+עלויות!$D$29*L$6/SUM($B$6:$L$6))</f>
        <v>-633073.26305454248</v>
      </c>
      <c r="M10" s="21">
        <f t="shared" si="0"/>
        <v>-7012623.8772881348</v>
      </c>
    </row>
    <row r="11" spans="1:13" x14ac:dyDescent="0.2">
      <c r="A11" s="24" t="s">
        <v>184</v>
      </c>
      <c r="B11" s="53">
        <f t="shared" ref="B11:L11" si="1">SUM(B8:B10)</f>
        <v>-9334559.1866600011</v>
      </c>
      <c r="C11" s="53">
        <f t="shared" si="1"/>
        <v>-74559.186660000007</v>
      </c>
      <c r="D11" s="53">
        <f t="shared" si="1"/>
        <v>-985136.3245975757</v>
      </c>
      <c r="E11" s="53">
        <f t="shared" si="1"/>
        <v>-2257760.2429641075</v>
      </c>
      <c r="F11" s="53">
        <f t="shared" si="1"/>
        <v>-3313758.5560251176</v>
      </c>
      <c r="G11" s="53">
        <f t="shared" si="1"/>
        <v>-4004012.8904606053</v>
      </c>
      <c r="H11" s="53">
        <f t="shared" si="1"/>
        <v>-4303670.1840505712</v>
      </c>
      <c r="I11" s="53">
        <f t="shared" si="1"/>
        <v>-4109792.2105777762</v>
      </c>
      <c r="J11" s="53">
        <f t="shared" si="1"/>
        <v>-3525317.1962594595</v>
      </c>
      <c r="K11" s="53">
        <f t="shared" si="1"/>
        <v>-2571572.2259783815</v>
      </c>
      <c r="L11" s="53">
        <f t="shared" si="1"/>
        <v>-1397675.6730545424</v>
      </c>
      <c r="M11" s="27">
        <f t="shared" si="0"/>
        <v>-35877813.877288133</v>
      </c>
    </row>
    <row r="12" spans="1:13" x14ac:dyDescent="0.2">
      <c r="A12" s="28" t="s">
        <v>185</v>
      </c>
      <c r="B12" s="20">
        <f>סיכום!$C$7*B$6/SUM($B$6:$L$6)</f>
        <v>0</v>
      </c>
      <c r="C12" s="20">
        <f>סיכום!$C$7*C$6/SUM($B$6:$L$6)</f>
        <v>0</v>
      </c>
      <c r="D12" s="20">
        <f>סיכום!$C$7*D$6/SUM($B$6:$L$6)</f>
        <v>402304.71646997082</v>
      </c>
      <c r="E12" s="20">
        <f>סיכום!$C$7*E$6/SUM($B$6:$L$6)</f>
        <v>1162213.6253576935</v>
      </c>
      <c r="F12" s="20">
        <f>סיכום!$C$7*F$6/SUM($B$6:$L$6)</f>
        <v>2100924.6304542916</v>
      </c>
      <c r="G12" s="20">
        <f>סיכום!$C$7*G$6/SUM($B$6:$L$6)</f>
        <v>3218437.7317597666</v>
      </c>
      <c r="H12" s="20">
        <f>סיכום!$C$7*H$6/SUM($B$6:$L$6)</f>
        <v>4514752.9292741166</v>
      </c>
      <c r="I12" s="20">
        <f>סיכום!$C$7*I$6/SUM($B$6:$L$6)</f>
        <v>5900469.1748929052</v>
      </c>
      <c r="J12" s="20">
        <f>סיכום!$C$7*J$6/SUM($B$6:$L$6)</f>
        <v>7464987.5167205697</v>
      </c>
      <c r="K12" s="20">
        <f>סיכום!$C$7*K$6/SUM($B$6:$L$6)</f>
        <v>9118906.9066526704</v>
      </c>
      <c r="L12" s="20">
        <f>סיכום!$C$7*L$6/SUM($B$6:$L$6)</f>
        <v>10862227.344689211</v>
      </c>
      <c r="M12" s="21">
        <f t="shared" si="0"/>
        <v>44745224.576271199</v>
      </c>
    </row>
    <row r="13" spans="1:13" x14ac:dyDescent="0.2">
      <c r="A13" s="24" t="s">
        <v>186</v>
      </c>
      <c r="B13" s="53">
        <f t="shared" ref="B13:L13" si="2">B11+B12</f>
        <v>-9334559.1866600011</v>
      </c>
      <c r="C13" s="53">
        <f t="shared" si="2"/>
        <v>-74559.186660000007</v>
      </c>
      <c r="D13" s="53">
        <f t="shared" si="2"/>
        <v>-582831.60812760494</v>
      </c>
      <c r="E13" s="53">
        <f t="shared" si="2"/>
        <v>-1095546.617606414</v>
      </c>
      <c r="F13" s="53">
        <f t="shared" si="2"/>
        <v>-1212833.925570826</v>
      </c>
      <c r="G13" s="53">
        <f t="shared" si="2"/>
        <v>-785575.15870083869</v>
      </c>
      <c r="H13" s="53">
        <f t="shared" si="2"/>
        <v>211082.74522354547</v>
      </c>
      <c r="I13" s="53">
        <f t="shared" si="2"/>
        <v>1790676.964315129</v>
      </c>
      <c r="J13" s="53">
        <f t="shared" si="2"/>
        <v>3939670.3204611102</v>
      </c>
      <c r="K13" s="53">
        <f t="shared" si="2"/>
        <v>6547334.6806742884</v>
      </c>
      <c r="L13" s="53">
        <f t="shared" si="2"/>
        <v>9464551.6716346685</v>
      </c>
      <c r="M13" s="27">
        <f t="shared" si="0"/>
        <v>8867410.6989830546</v>
      </c>
    </row>
    <row r="14" spans="1:13" x14ac:dyDescent="0.2">
      <c r="A14" s="39" t="s">
        <v>187</v>
      </c>
      <c r="B14" s="54">
        <f>B13</f>
        <v>-9334559.1866600011</v>
      </c>
      <c r="C14" s="54">
        <f t="shared" ref="C14:L14" si="3">B14+C13</f>
        <v>-9409118.3733200002</v>
      </c>
      <c r="D14" s="54">
        <f t="shared" si="3"/>
        <v>-9991949.9814476054</v>
      </c>
      <c r="E14" s="54">
        <f t="shared" si="3"/>
        <v>-11087496.59905402</v>
      </c>
      <c r="F14" s="54">
        <f t="shared" si="3"/>
        <v>-12300330.524624847</v>
      </c>
      <c r="G14" s="54">
        <f t="shared" si="3"/>
        <v>-13085905.683325686</v>
      </c>
      <c r="H14" s="54">
        <f t="shared" si="3"/>
        <v>-12874822.938102141</v>
      </c>
      <c r="I14" s="54">
        <f t="shared" si="3"/>
        <v>-11084145.973787012</v>
      </c>
      <c r="J14" s="54">
        <f t="shared" si="3"/>
        <v>-7144475.6533259014</v>
      </c>
      <c r="K14" s="54">
        <f t="shared" si="3"/>
        <v>-597140.97265161294</v>
      </c>
      <c r="L14" s="54">
        <f t="shared" si="3"/>
        <v>8867410.6989830546</v>
      </c>
      <c r="M14" s="54">
        <f>L14</f>
        <v>8867410.6989830546</v>
      </c>
    </row>
    <row r="15" spans="1:13" x14ac:dyDescent="0.2">
      <c r="A15" s="28" t="s">
        <v>188</v>
      </c>
      <c r="B15" s="20">
        <f t="shared" ref="B15:L15" si="4">MAX(0,-B14)</f>
        <v>9334559.1866600011</v>
      </c>
      <c r="C15" s="20">
        <f t="shared" si="4"/>
        <v>9409118.3733200002</v>
      </c>
      <c r="D15" s="20">
        <f t="shared" si="4"/>
        <v>9991949.9814476054</v>
      </c>
      <c r="E15" s="20">
        <f t="shared" si="4"/>
        <v>11087496.59905402</v>
      </c>
      <c r="F15" s="20">
        <f t="shared" si="4"/>
        <v>12300330.524624847</v>
      </c>
      <c r="G15" s="20">
        <f t="shared" si="4"/>
        <v>13085905.683325686</v>
      </c>
      <c r="H15" s="20">
        <f t="shared" si="4"/>
        <v>12874822.938102141</v>
      </c>
      <c r="I15" s="20">
        <f t="shared" si="4"/>
        <v>11084145.973787012</v>
      </c>
      <c r="J15" s="20">
        <f t="shared" si="4"/>
        <v>7144475.6533259014</v>
      </c>
      <c r="K15" s="20">
        <f t="shared" si="4"/>
        <v>597140.97265161294</v>
      </c>
      <c r="L15" s="20">
        <f t="shared" si="4"/>
        <v>0</v>
      </c>
      <c r="M15" s="21">
        <f>MAX(B15:L15)</f>
        <v>13085905.683325686</v>
      </c>
    </row>
    <row r="16" spans="1:13" x14ac:dyDescent="0.2">
      <c r="A16" s="50" t="s">
        <v>189</v>
      </c>
      <c r="B16" s="55">
        <f>MAX(0,-B14-סיכום!$C$28)</f>
        <v>365105.71733796783</v>
      </c>
      <c r="C16" s="55">
        <f>MAX(0,-C14-סיכום!$C$28)</f>
        <v>439664.90399796702</v>
      </c>
      <c r="D16" s="55">
        <f>MAX(0,-D14-סיכום!$C$28)</f>
        <v>1022496.5121255722</v>
      </c>
      <c r="E16" s="55">
        <f>MAX(0,-E14-סיכום!$C$28)</f>
        <v>2118043.1297319867</v>
      </c>
      <c r="F16" s="55">
        <f>MAX(0,-F14-סיכום!$C$28)</f>
        <v>3330877.0553028136</v>
      </c>
      <c r="G16" s="55">
        <f>MAX(0,-G14-סיכום!$C$28)</f>
        <v>4116452.2140036523</v>
      </c>
      <c r="H16" s="55">
        <f>MAX(0,-H14-סיכום!$C$28)</f>
        <v>3905369.4687801078</v>
      </c>
      <c r="I16" s="55">
        <f>MAX(0,-I14-סיכום!$C$28)</f>
        <v>2114692.5044649784</v>
      </c>
      <c r="J16" s="55">
        <f>MAX(0,-J14-סיכום!$C$28)</f>
        <v>0</v>
      </c>
      <c r="K16" s="55">
        <f>MAX(0,-K14-סיכום!$C$28)</f>
        <v>0</v>
      </c>
      <c r="L16" s="55">
        <f>MAX(0,-L14-סיכום!$C$28)</f>
        <v>0</v>
      </c>
      <c r="M16" s="56">
        <f>MAX(B16:L16)</f>
        <v>4116452.2140036523</v>
      </c>
    </row>
    <row r="18" spans="1:2" x14ac:dyDescent="0.2">
      <c r="A18" s="4" t="s">
        <v>190</v>
      </c>
      <c r="B18" s="36">
        <f>M15</f>
        <v>13085905.683325686</v>
      </c>
    </row>
    <row r="19" spans="1:2" x14ac:dyDescent="0.2">
      <c r="A19" s="4" t="s">
        <v>191</v>
      </c>
      <c r="B19" s="36">
        <f>M16</f>
        <v>4116452.2140036523</v>
      </c>
    </row>
    <row r="20" spans="1:2" x14ac:dyDescent="0.2">
      <c r="A20" s="4" t="s">
        <v>192</v>
      </c>
      <c r="B20" s="36">
        <f>(((0+B16)/2)+((B16+C16)/2)+((C16+D16)/2)+((D16+E16)/2)+((E16+F16)/2)+((F16+G16)/2)+((G16+H16)/2)+((H16+I16)/2)+((I16+J16)/2)+((J16+K16)/2)+((K16+L16)/2))*הנחות!$C$57/4</f>
        <v>282956.39946835698</v>
      </c>
    </row>
    <row r="21" spans="1:2" x14ac:dyDescent="0.2">
      <c r="A21" s="4" t="s">
        <v>193</v>
      </c>
      <c r="B21" s="57">
        <f>עלויות!$D$20</f>
        <v>1176311.3999999999</v>
      </c>
    </row>
    <row r="22" spans="1:2" x14ac:dyDescent="0.2">
      <c r="A22" s="7" t="s">
        <v>194</v>
      </c>
      <c r="B22" s="56">
        <f>B21-B20</f>
        <v>893355.00053164293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showGridLines="0" rightToLeft="1" workbookViewId="0"/>
  </sheetViews>
  <sheetFormatPr defaultRowHeight="14.25" x14ac:dyDescent="0.2"/>
  <cols>
    <col min="1" max="1" width="26" customWidth="1"/>
    <col min="2" max="10" width="11" customWidth="1"/>
  </cols>
  <sheetData>
    <row r="1" spans="1:10" ht="18" x14ac:dyDescent="0.25">
      <c r="A1" s="1" t="s">
        <v>195</v>
      </c>
    </row>
    <row r="2" spans="1:10" x14ac:dyDescent="0.2">
      <c r="A2" s="2" t="s">
        <v>196</v>
      </c>
    </row>
    <row r="4" spans="1:10" ht="33.950000000000003" customHeight="1" x14ac:dyDescent="0.2">
      <c r="A4" s="16" t="s">
        <v>197</v>
      </c>
      <c r="B4" s="58">
        <v>-0.1</v>
      </c>
      <c r="C4" s="58">
        <v>-7.4999999999999997E-2</v>
      </c>
      <c r="D4" s="58">
        <v>-0.05</v>
      </c>
      <c r="E4" s="58">
        <v>-2.5000000000000001E-2</v>
      </c>
      <c r="F4" s="58">
        <v>0</v>
      </c>
      <c r="G4" s="58">
        <v>2.5000000000000001E-2</v>
      </c>
      <c r="H4" s="58">
        <v>0.05</v>
      </c>
      <c r="I4" s="58">
        <v>7.4999999999999997E-2</v>
      </c>
      <c r="J4" s="58">
        <v>0.1</v>
      </c>
    </row>
    <row r="5" spans="1:10" x14ac:dyDescent="0.2">
      <c r="A5" s="59">
        <v>-0.1</v>
      </c>
      <c r="B5" s="60">
        <f>IFERROR((סיכום!$C$7*(1+B$4)-(עלויות!$D$37+עלויות!$D$11*(1+$A5)+(עלויות!$D$15+עלויות!$D$11*(1+$A5)*(הנחות!$C$36+הנחות!$C$39+הנחות!$C$43+הנחות!$C$45)+עלויות!$D$11*(1+$A5)*הנחות!$C$40*הנחות!$C$41+סיכום!$C$7*(1+B$4)*(הנחות!$C$37+הנחות!$C$38)+סיכום!$C$6*(1+B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B$4)*(הנחות!$C$37+הנחות!$C$38)+סיכום!$C$6*(1+B$4)*הנחות!$C$44+עלויות!$D$21+עלויות!$D$25+עלויות!$D$26)),0)</f>
        <v>0.20671251126118811</v>
      </c>
      <c r="C5" s="60">
        <f>IFERROR((סיכום!$C$7*(1+C$4)-(עלויות!$D$37+עלויות!$D$11*(1+$A5)+(עלויות!$D$15+עלויות!$D$11*(1+$A5)*(הנחות!$C$36+הנחות!$C$39+הנחות!$C$43+הנחות!$C$45)+עלויות!$D$11*(1+$A5)*הנחות!$C$40*הנחות!$C$41+סיכום!$C$7*(1+C$4)*(הנחות!$C$37+הנחות!$C$38)+סיכום!$C$6*(1+C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C$4)*(הנחות!$C$37+הנחות!$C$38)+סיכום!$C$6*(1+C$4)*הנחות!$C$44+עלויות!$D$21+עלויות!$D$25+עלויות!$D$26)),0)</f>
        <v>0.23859485533222463</v>
      </c>
      <c r="D5" s="60">
        <f>IFERROR((סיכום!$C$7*(1+D$4)-(עלויות!$D$37+עלויות!$D$11*(1+$A5)+(עלויות!$D$15+עלויות!$D$11*(1+$A5)*(הנחות!$C$36+הנחות!$C$39+הנחות!$C$43+הנחות!$C$45)+עלויות!$D$11*(1+$A5)*הנחות!$C$40*הנחות!$C$41+סיכום!$C$7*(1+D$4)*(הנחות!$C$37+הנחות!$C$38)+סיכום!$C$6*(1+D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D$4)*(הנחות!$C$37+הנחות!$C$38)+סיכום!$C$6*(1+D$4)*הנחות!$C$44+עלויות!$D$21+עלויות!$D$25+עלויות!$D$26)),0)</f>
        <v>0.27039312347248512</v>
      </c>
      <c r="E5" s="60">
        <f>IFERROR((סיכום!$C$7*(1+E$4)-(עלויות!$D$37+עלויות!$D$11*(1+$A5)+(עלויות!$D$15+עלויות!$D$11*(1+$A5)*(הנחות!$C$36+הנחות!$C$39+הנחות!$C$43+הנחות!$C$45)+עלויות!$D$11*(1+$A5)*הנחות!$C$40*הנחות!$C$41+סיכום!$C$7*(1+E$4)*(הנחות!$C$37+הנחות!$C$38)+סיכום!$C$6*(1+E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E$4)*(הנחות!$C$37+הנחות!$C$38)+סיכום!$C$6*(1+E$4)*הנחות!$C$44+עלויות!$D$21+עלויות!$D$25+עלויות!$D$26)),0)</f>
        <v>0.30210764781504529</v>
      </c>
      <c r="F5" s="60">
        <f>IFERROR((סיכום!$C$7*(1+F$4)-(עלויות!$D$37+עלויות!$D$11*(1+$A5)+(עלויות!$D$15+עלויות!$D$11*(1+$A5)*(הנחות!$C$36+הנחות!$C$39+הנחות!$C$43+הנחות!$C$45)+עלויות!$D$11*(1+$A5)*הנחות!$C$40*הנחות!$C$41+סיכום!$C$7*(1+F$4)*(הנחות!$C$37+הנחות!$C$38)+סיכום!$C$6*(1+F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F$4)*(הנחות!$C$37+הנחות!$C$38)+סיכום!$C$6*(1+F$4)*הנחות!$C$44+עלויות!$D$21+עלויות!$D$25+עלויות!$D$26)),0)</f>
        <v>0.33373875874587311</v>
      </c>
      <c r="G5" s="60">
        <f>IFERROR((סיכום!$C$7*(1+G$4)-(עלויות!$D$37+עלויות!$D$11*(1+$A5)+(עלויות!$D$15+עלויות!$D$11*(1+$A5)*(הנחות!$C$36+הנחות!$C$39+הנחות!$C$43+הנחות!$C$45)+עלויות!$D$11*(1+$A5)*הנחות!$C$40*הנחות!$C$41+סיכום!$C$7*(1+G$4)*(הנחות!$C$37+הנחות!$C$38)+סיכום!$C$6*(1+G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G$4)*(הנחות!$C$37+הנחות!$C$38)+סיכום!$C$6*(1+G$4)*הנחות!$C$44+עלויות!$D$21+עלויות!$D$25+עלויות!$D$26)),0)</f>
        <v>0.36528678491530076</v>
      </c>
      <c r="H5" s="60">
        <f>IFERROR((סיכום!$C$7*(1+H$4)-(עלויות!$D$37+עלויות!$D$11*(1+$A5)+(עלויות!$D$15+עלויות!$D$11*(1+$A5)*(הנחות!$C$36+הנחות!$C$39+הנחות!$C$43+הנחות!$C$45)+עלויות!$D$11*(1+$A5)*הנחות!$C$40*הנחות!$C$41+סיכום!$C$7*(1+H$4)*(הנחות!$C$37+הנחות!$C$38)+סיכום!$C$6*(1+H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H$4)*(הנחות!$C$37+הנחות!$C$38)+סיכום!$C$6*(1+H$4)*הנחות!$C$44+עלויות!$D$21+עלויות!$D$25+עלויות!$D$26)),0)</f>
        <v>0.39675205324940738</v>
      </c>
      <c r="I5" s="60">
        <f>IFERROR((סיכום!$C$7*(1+I$4)-(עלויות!$D$37+עלויות!$D$11*(1+$A5)+(עלויות!$D$15+עלויות!$D$11*(1+$A5)*(הנחות!$C$36+הנחות!$C$39+הנחות!$C$43+הנחות!$C$45)+עלויות!$D$11*(1+$A5)*הנחות!$C$40*הנחות!$C$41+סיכום!$C$7*(1+I$4)*(הנחות!$C$37+הנחות!$C$38)+סיכום!$C$6*(1+I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I$4)*(הנחות!$C$37+הנחות!$C$38)+סיכום!$C$6*(1+I$4)*הנחות!$C$44+עלויות!$D$21+עלויות!$D$25+עלויות!$D$26)),0)</f>
        <v>0.42813488896131185</v>
      </c>
      <c r="J5" s="60">
        <f>IFERROR((סיכום!$C$7*(1+J$4)-(עלויות!$D$37+עלויות!$D$11*(1+$A5)+(עלויות!$D$15+עלויות!$D$11*(1+$A5)*(הנחות!$C$36+הנחות!$C$39+הנחות!$C$43+הנחות!$C$45)+עלויות!$D$11*(1+$A5)*הנחות!$C$40*הנחות!$C$41+סיכום!$C$7*(1+J$4)*(הנחות!$C$37+הנחות!$C$38)+סיכום!$C$6*(1+J$4)*הנחות!$C$44+עלויות!$D$21+עלויות!$D$25+עלויות!$D$26)))/(עלויות!$D$37+עלויות!$D$11*(1+$A5)+(עלויות!$D$15+עלויות!$D$11*(1+$A5)*(הנחות!$C$36+הנחות!$C$39+הנחות!$C$43+הנחות!$C$45)+עלויות!$D$11*(1+$A5)*הנחות!$C$40*הנחות!$C$41+סיכום!$C$7*(1+J$4)*(הנחות!$C$37+הנחות!$C$38)+סיכום!$C$6*(1+J$4)*הנחות!$C$44+עלויות!$D$21+עלויות!$D$25+עלויות!$D$26)),0)</f>
        <v>0.4594356155623785</v>
      </c>
    </row>
    <row r="6" spans="1:10" x14ac:dyDescent="0.2">
      <c r="A6" s="59">
        <v>-0.05</v>
      </c>
      <c r="B6" s="60">
        <f>IFERROR((סיכום!$C$7*(1+B$4)-(עלויות!$D$37+עלויות!$D$11*(1+$A6)+(עלויות!$D$15+עלויות!$D$11*(1+$A6)*(הנחות!$C$36+הנחות!$C$39+הנחות!$C$43+הנחות!$C$45)+עלויות!$D$11*(1+$A6)*הנחות!$C$40*הנחות!$C$41+סיכום!$C$7*(1+B$4)*(הנחות!$C$37+הנחות!$C$38)+סיכום!$C$6*(1+B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B$4)*(הנחות!$C$37+הנחות!$C$38)+סיכום!$C$6*(1+B$4)*הנחות!$C$44+עלויות!$D$21+עלויות!$D$25+עלויות!$D$26)),0)</f>
        <v>0.16602329349172271</v>
      </c>
      <c r="C6" s="60">
        <f>IFERROR((סיכום!$C$7*(1+C$4)-(עלויות!$D$37+עלויות!$D$11*(1+$A6)+(עלויות!$D$15+עלויות!$D$11*(1+$A6)*(הנחות!$C$36+הנחות!$C$39+הנחות!$C$43+הנחות!$C$45)+עלויות!$D$11*(1+$A6)*הנחות!$C$40*הנחות!$C$41+סיכום!$C$7*(1+C$4)*(הנחות!$C$37+הנחות!$C$38)+סיכום!$C$6*(1+C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C$4)*(הנחות!$C$37+הנחות!$C$38)+סיכום!$C$6*(1+C$4)*הנחות!$C$44+עלויות!$D$21+עלויות!$D$25+עלויות!$D$26)),0)</f>
        <v>0.19688387813452765</v>
      </c>
      <c r="D6" s="60">
        <f>IFERROR((סיכום!$C$7*(1+D$4)-(עלויות!$D$37+עלויות!$D$11*(1+$A6)+(עלויות!$D$15+עלויות!$D$11*(1+$A6)*(הנחות!$C$36+הנחות!$C$39+הנחות!$C$43+הנחות!$C$45)+עלויות!$D$11*(1+$A6)*הנחות!$C$40*הנחות!$C$41+סיכום!$C$7*(1+D$4)*(הנחות!$C$37+הנחות!$C$38)+סיכום!$C$6*(1+D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D$4)*(הנחות!$C$37+הנחות!$C$38)+סיכום!$C$6*(1+D$4)*הנחות!$C$44+עלויות!$D$21+עלויות!$D$25+עלויות!$D$26)),0)</f>
        <v>0.22766581841077807</v>
      </c>
      <c r="E6" s="60">
        <f>IFERROR((סיכום!$C$7*(1+E$4)-(עלויות!$D$37+עלויות!$D$11*(1+$A6)+(עלויות!$D$15+עלויות!$D$11*(1+$A6)*(הנחות!$C$36+הנחות!$C$39+הנחות!$C$43+הנחות!$C$45)+עלויות!$D$11*(1+$A6)*הנחות!$C$40*הנחות!$C$41+סיכום!$C$7*(1+E$4)*(הנחות!$C$37+הנחות!$C$38)+סיכום!$C$6*(1+E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E$4)*(הנחות!$C$37+הנחות!$C$38)+סיכום!$C$6*(1+E$4)*הנחות!$C$44+עלויות!$D$21+עלויות!$D$25+עלויות!$D$26)),0)</f>
        <v>0.25836941456100965</v>
      </c>
      <c r="F6" s="60">
        <f>IFERROR((סיכום!$C$7*(1+F$4)-(עלויות!$D$37+עלויות!$D$11*(1+$A6)+(עלויות!$D$15+עלויות!$D$11*(1+$A6)*(הנחות!$C$36+הנחות!$C$39+הנחות!$C$43+הנחות!$C$45)+עלויות!$D$11*(1+$A6)*הנחות!$C$40*הנחות!$C$41+סיכום!$C$7*(1+F$4)*(הנחות!$C$37+הנחות!$C$38)+סיכום!$C$6*(1+F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F$4)*(הנחות!$C$37+הנחות!$C$38)+סיכום!$C$6*(1+F$4)*הנחות!$C$44+עלויות!$D$21+עלויות!$D$25+עלויות!$D$26)),0)</f>
        <v>0.28899496529939672</v>
      </c>
      <c r="G6" s="60">
        <f>IFERROR((סיכום!$C$7*(1+G$4)-(עלויות!$D$37+עלויות!$D$11*(1+$A6)+(עלויות!$D$15+עלויות!$D$11*(1+$A6)*(הנחות!$C$36+הנחות!$C$39+הנחות!$C$43+הנחות!$C$45)+עלויות!$D$11*(1+$A6)*הנחות!$C$40*הנחות!$C$41+סיכום!$C$7*(1+G$4)*(הנחות!$C$37+הנחות!$C$38)+סיכום!$C$6*(1+G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G$4)*(הנחות!$C$37+הנחות!$C$38)+סיכום!$C$6*(1+G$4)*הנחות!$C$44+עלויות!$D$21+עלויות!$D$25+עלויות!$D$26)),0)</f>
        <v>0.31954276782343916</v>
      </c>
      <c r="H6" s="60">
        <f>IFERROR((סיכום!$C$7*(1+H$4)-(עלויות!$D$37+עלויות!$D$11*(1+$A6)+(עלויות!$D$15+עלויות!$D$11*(1+$A6)*(הנחות!$C$36+הנחות!$C$39+הנחות!$C$43+הנחות!$C$45)+עלויות!$D$11*(1+$A6)*הנחות!$C$40*הנחות!$C$41+סיכום!$C$7*(1+H$4)*(הנחות!$C$37+הנחות!$C$38)+סיכום!$C$6*(1+H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H$4)*(הנחות!$C$37+הנחות!$C$38)+סיכום!$C$6*(1+H$4)*הנחות!$C$44+עלויות!$D$21+עלויות!$D$25+עלויות!$D$26)),0)</f>
        <v>0.35001311782357614</v>
      </c>
      <c r="I6" s="60">
        <f>IFERROR((סיכום!$C$7*(1+I$4)-(עלויות!$D$37+עלויות!$D$11*(1+$A6)+(עלויות!$D$15+עלויות!$D$11*(1+$A6)*(הנחות!$C$36+הנחות!$C$39+הנחות!$C$43+הנחות!$C$45)+עלויות!$D$11*(1+$A6)*הנחות!$C$40*הנחות!$C$41+סיכום!$C$7*(1+I$4)*(הנחות!$C$37+הנחות!$C$38)+סיכום!$C$6*(1+I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I$4)*(הנחות!$C$37+הנחות!$C$38)+סיכום!$C$6*(1+I$4)*הנחות!$C$44+עלויות!$D$21+עלויות!$D$25+עלויות!$D$26)),0)</f>
        <v>0.38040630949272652</v>
      </c>
      <c r="J6" s="60">
        <f>IFERROR((סיכום!$C$7*(1+J$4)-(עלויות!$D$37+עלויות!$D$11*(1+$A6)+(עלויות!$D$15+עלויות!$D$11*(1+$A6)*(הנחות!$C$36+הנחות!$C$39+הנחות!$C$43+הנחות!$C$45)+עלויות!$D$11*(1+$A6)*הנחות!$C$40*הנחות!$C$41+סיכום!$C$7*(1+J$4)*(הנחות!$C$37+הנחות!$C$38)+סיכום!$C$6*(1+J$4)*הנחות!$C$44+עלויות!$D$21+עלויות!$D$25+עלויות!$D$26)))/(עלויות!$D$37+עלויות!$D$11*(1+$A6)+(עלויות!$D$15+עלויות!$D$11*(1+$A6)*(הנחות!$C$36+הנחות!$C$39+הנחות!$C$43+הנחות!$C$45)+עלויות!$D$11*(1+$A6)*הנחות!$C$40*הנחות!$C$41+סיכום!$C$7*(1+J$4)*(הנחות!$C$37+הנחות!$C$38)+סיכום!$C$6*(1+J$4)*הנחות!$C$44+עלויות!$D$21+עלויות!$D$25+עלויות!$D$26)),0)</f>
        <v>0.41072263553575838</v>
      </c>
    </row>
    <row r="7" spans="1:10" x14ac:dyDescent="0.2">
      <c r="A7" s="59">
        <v>0</v>
      </c>
      <c r="B7" s="60">
        <f>IFERROR((סיכום!$C$7*(1+B$4)-(עלויות!$D$37+עלויות!$D$11*(1+$A7)+(עלויות!$D$15+עלויות!$D$11*(1+$A7)*(הנחות!$C$36+הנחות!$C$39+הנחות!$C$43+הנחות!$C$45)+עלויות!$D$11*(1+$A7)*הנחות!$C$40*הנחות!$C$41+סיכום!$C$7*(1+B$4)*(הנחות!$C$37+הנחות!$C$38)+סיכום!$C$6*(1+B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B$4)*(הנחות!$C$37+הנחות!$C$38)+סיכום!$C$6*(1+B$4)*הנחות!$C$44+עלויות!$D$21+עלויות!$D$25+עלויות!$D$26)),0)</f>
        <v>0.1279885733137871</v>
      </c>
      <c r="C7" s="60">
        <f>IFERROR((סיכום!$C$7*(1+C$4)-(עלויות!$D$37+עלויות!$D$11*(1+$A7)+(עלויות!$D$15+עלויות!$D$11*(1+$A7)*(הנחות!$C$36+הנחות!$C$39+הנחות!$C$43+הנחות!$C$45)+עלויות!$D$11*(1+$A7)*הנחות!$C$40*הנחות!$C$41+סיכום!$C$7*(1+C$4)*(הנחות!$C$37+הנחות!$C$38)+סיכום!$C$6*(1+C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C$4)*(הנחות!$C$37+הנחות!$C$38)+סיכום!$C$6*(1+C$4)*הנחות!$C$44+עלויות!$D$21+עלויות!$D$25+עלויות!$D$26)),0)</f>
        <v>0.15789069784844664</v>
      </c>
      <c r="D7" s="60">
        <f>IFERROR((סיכום!$C$7*(1+D$4)-(עלויות!$D$37+עלויות!$D$11*(1+$A7)+(עלויות!$D$15+עלויות!$D$11*(1+$A7)*(הנחות!$C$36+הנחות!$C$39+הנחות!$C$43+הנחות!$C$45)+עלויות!$D$11*(1+$A7)*הנחות!$C$40*הנחות!$C$41+סיכום!$C$7*(1+D$4)*(הנחות!$C$37+הנחות!$C$38)+סיכום!$C$6*(1+D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D$4)*(הנחות!$C$37+הנחות!$C$38)+סיכום!$C$6*(1+D$4)*הנחות!$C$44+עלויות!$D$21+עלויות!$D$25+עלויות!$D$26)),0)</f>
        <v>0.18771910004647571</v>
      </c>
      <c r="E7" s="60">
        <f>IFERROR((סיכום!$C$7*(1+E$4)-(עלויות!$D$37+עלויות!$D$11*(1+$A7)+(עלויות!$D$15+עלויות!$D$11*(1+$A7)*(הנחות!$C$36+הנחות!$C$39+הנחות!$C$43+הנחות!$C$45)+עלויות!$D$11*(1+$A7)*הנחות!$C$40*הנחות!$C$41+סיכום!$C$7*(1+E$4)*(הנחות!$C$37+הנחות!$C$38)+סיכום!$C$6*(1+E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E$4)*(הנחות!$C$37+הנחות!$C$38)+סיכום!$C$6*(1+E$4)*הנחות!$C$44+עלויות!$D$21+עלויות!$D$25+עלויות!$D$26)),0)</f>
        <v>0.21747405221083238</v>
      </c>
      <c r="F7" s="61">
        <f>IFERROR((סיכום!$C$7*(1+F$4)-(עלויות!$D$37+עלויות!$D$11*(1+$A7)+(עלויות!$D$15+עלויות!$D$11*(1+$A7)*(הנחות!$C$36+הנחות!$C$39+הנחות!$C$43+הנחות!$C$45)+עלויות!$D$11*(1+$A7)*הנחות!$C$40*הנחות!$C$41+סיכום!$C$7*(1+F$4)*(הנחות!$C$37+הנחות!$C$38)+סיכום!$C$6*(1+F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F$4)*(הנחות!$C$37+הנחות!$C$38)+סיכום!$C$6*(1+F$4)*הנחות!$C$44+עלויות!$D$21+עלויות!$D$25+עלויות!$D$26)),0)</f>
        <v>0.24715582530507604</v>
      </c>
      <c r="G7" s="60">
        <f>IFERROR((סיכום!$C$7*(1+G$4)-(עלויות!$D$37+עלויות!$D$11*(1+$A7)+(עלויות!$D$15+עלויות!$D$11*(1+$A7)*(הנחות!$C$36+הנחות!$C$39+הנחות!$C$43+הנחות!$C$45)+עלויות!$D$11*(1+$A7)*הנחות!$C$40*הנחות!$C$41+סיכום!$C$7*(1+G$4)*(הנחות!$C$37+הנחות!$C$38)+סיכום!$C$6*(1+G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G$4)*(הנחות!$C$37+הנחות!$C$38)+סיכום!$C$6*(1+G$4)*הנחות!$C$44+עלויות!$D$21+עלויות!$D$25+עלויות!$D$26)),0)</f>
        <v>0.27676468896159206</v>
      </c>
      <c r="H7" s="60">
        <f>IFERROR((סיכום!$C$7*(1+H$4)-(עלויות!$D$37+עלויות!$D$11*(1+$A7)+(עלויות!$D$15+עלויות!$D$11*(1+$A7)*(הנחות!$C$36+הנחות!$C$39+הנחות!$C$43+הנחות!$C$45)+עלויות!$D$11*(1+$A7)*הנחות!$C$40*הנחות!$C$41+סיכום!$C$7*(1+H$4)*(הנחות!$C$37+הנחות!$C$38)+סיכום!$C$6*(1+H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H$4)*(הנחות!$C$37+הנחות!$C$38)+סיכום!$C$6*(1+H$4)*הנחות!$C$44+עלויות!$D$21+עלויות!$D$25+עלויות!$D$26)),0)</f>
        <v>0.30630091148975636</v>
      </c>
      <c r="I7" s="60">
        <f>IFERROR((סיכום!$C$7*(1+I$4)-(עלויות!$D$37+עלויות!$D$11*(1+$A7)+(עלויות!$D$15+עלויות!$D$11*(1+$A7)*(הנחות!$C$36+הנחות!$C$39+הנחות!$C$43+הנחות!$C$45)+עלויות!$D$11*(1+$A7)*הנחות!$C$40*הנחות!$C$41+סיכום!$C$7*(1+I$4)*(הנחות!$C$37+הנחות!$C$38)+סיכום!$C$6*(1+I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I$4)*(הנחות!$C$37+הנחות!$C$38)+סיכום!$C$6*(1+I$4)*הנחות!$C$44+עלויות!$D$21+עלויות!$D$25+עלויות!$D$26)),0)</f>
        <v>0.33576475988404086</v>
      </c>
      <c r="J7" s="60">
        <f>IFERROR((סיכום!$C$7*(1+J$4)-(עלויות!$D$37+עלויות!$D$11*(1+$A7)+(עלויות!$D$15+עלויות!$D$11*(1+$A7)*(הנחות!$C$36+הנחות!$C$39+הנחות!$C$43+הנחות!$C$45)+עלויות!$D$11*(1+$A7)*הנחות!$C$40*הנחות!$C$41+סיכום!$C$7*(1+J$4)*(הנחות!$C$37+הנחות!$C$38)+סיכום!$C$6*(1+J$4)*הנחות!$C$44+עלויות!$D$21+עלויות!$D$25+עלויות!$D$26)))/(עלויות!$D$37+עלויות!$D$11*(1+$A7)+(עלויות!$D$15+עלויות!$D$11*(1+$A7)*(הנחות!$C$36+הנחות!$C$39+הנחות!$C$43+הנחות!$C$45)+עלויות!$D$11*(1+$A7)*הנחות!$C$40*הנחות!$C$41+סיכום!$C$7*(1+J$4)*(הנחות!$C$37+הנחות!$C$38)+סיכום!$C$6*(1+J$4)*הנחות!$C$44+עלויות!$D$21+עלויות!$D$25+עלויות!$D$26)),0)</f>
        <v>0.36515649983205745</v>
      </c>
    </row>
    <row r="8" spans="1:10" x14ac:dyDescent="0.2">
      <c r="A8" s="59">
        <v>0.05</v>
      </c>
      <c r="B8" s="60">
        <f>IFERROR((סיכום!$C$7*(1+B$4)-(עלויות!$D$37+עלויות!$D$11*(1+$A8)+(עלויות!$D$15+עלויות!$D$11*(1+$A8)*(הנחות!$C$36+הנחות!$C$39+הנחות!$C$43+הנחות!$C$45)+עלויות!$D$11*(1+$A8)*הנחות!$C$40*הנחות!$C$41+סיכום!$C$7*(1+B$4)*(הנחות!$C$37+הנחות!$C$38)+סיכום!$C$6*(1+B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B$4)*(הנחות!$C$37+הנחות!$C$38)+סיכום!$C$6*(1+B$4)*הנחות!$C$44+עלויות!$D$21+עלויות!$D$25+עלויות!$D$26)),0)</f>
        <v>9.2356793729394399E-2</v>
      </c>
      <c r="C8" s="60">
        <f>IFERROR((סיכום!$C$7*(1+C$4)-(עלויות!$D$37+עלויות!$D$11*(1+$A8)+(עלויות!$D$15+עלויות!$D$11*(1+$A8)*(הנחות!$C$36+הנחות!$C$39+הנחות!$C$43+הנחות!$C$45)+עלויות!$D$11*(1+$A8)*הנחות!$C$40*הנחות!$C$41+סיכום!$C$7*(1+C$4)*(הנחות!$C$37+הנחות!$C$38)+סיכום!$C$6*(1+C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C$4)*(הנחות!$C$37+הנחות!$C$38)+סיכום!$C$6*(1+C$4)*הנחות!$C$44+עלויות!$D$21+עלויות!$D$25+עלויות!$D$26)),0)</f>
        <v>0.12135806668974554</v>
      </c>
      <c r="D8" s="60">
        <f>IFERROR((סיכום!$C$7*(1+D$4)-(עלויות!$D$37+עלויות!$D$11*(1+$A8)+(עלויות!$D$15+עלויות!$D$11*(1+$A8)*(הנחות!$C$36+הנחות!$C$39+הנחות!$C$43+הנחות!$C$45)+עלויות!$D$11*(1+$A8)*הנחות!$C$40*הנחות!$C$41+סיכום!$C$7*(1+D$4)*(הנחות!$C$37+הנחות!$C$38)+סיכום!$C$6*(1+D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D$4)*(הנחות!$C$37+הנחות!$C$38)+סיכום!$C$6*(1+D$4)*הנחות!$C$44+עלויות!$D$21+עלויות!$D$25+עלויות!$D$26)),0)</f>
        <v>0.15029009156872369</v>
      </c>
      <c r="E8" s="60">
        <f>IFERROR((סיכום!$C$7*(1+E$4)-(עלויות!$D$37+עלויות!$D$11*(1+$A8)+(עלויות!$D$15+עלויות!$D$11*(1+$A8)*(הנחות!$C$36+הנחות!$C$39+הנחות!$C$43+הנחות!$C$45)+עלויות!$D$11*(1+$A8)*הנחות!$C$40*הנחות!$C$41+סיכום!$C$7*(1+E$4)*(הנחות!$C$37+הנחות!$C$38)+סיכום!$C$6*(1+E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E$4)*(הנחות!$C$37+הנחות!$C$38)+סיכום!$C$6*(1+E$4)*הנחות!$C$44+עלויות!$D$21+עלויות!$D$25+עלויות!$D$26)),0)</f>
        <v>0.1791531160922786</v>
      </c>
      <c r="F8" s="60">
        <f>IFERROR((סיכום!$C$7*(1+F$4)-(עלויות!$D$37+עלויות!$D$11*(1+$A8)+(עלויות!$D$15+עלויות!$D$11*(1+$A8)*(הנחות!$C$36+הנחות!$C$39+הנחות!$C$43+הנחות!$C$45)+עלויות!$D$11*(1+$A8)*הנחות!$C$40*הנחות!$C$41+סיכום!$C$7*(1+F$4)*(הנחות!$C$37+הנחות!$C$38)+סיכום!$C$6*(1+F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F$4)*(הנחות!$C$37+הנחות!$C$38)+סיכום!$C$6*(1+F$4)*הנחות!$C$44+עלויות!$D$21+עלויות!$D$25+עלויות!$D$26)),0)</f>
        <v>0.20794738680615776</v>
      </c>
      <c r="G8" s="60">
        <f>IFERROR((סיכום!$C$7*(1+G$4)-(עלויות!$D$37+עלויות!$D$11*(1+$A8)+(עלויות!$D$15+עלויות!$D$11*(1+$A8)*(הנחות!$C$36+הנחות!$C$39+הנחות!$C$43+הנחות!$C$45)+עלויות!$D$11*(1+$A8)*הנחות!$C$40*הנחות!$C$41+סיכום!$C$7*(1+G$4)*(הנחות!$C$37+הנחות!$C$38)+סיכום!$C$6*(1+G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G$4)*(הנחות!$C$37+הנחות!$C$38)+סיכום!$C$6*(1+G$4)*הנחות!$C$44+עלויות!$D$21+עלויות!$D$25+עלויות!$D$26)),0)</f>
        <v>0.23667314908292619</v>
      </c>
      <c r="H8" s="60">
        <f>IFERROR((סיכום!$C$7*(1+H$4)-(עלויות!$D$37+עלויות!$D$11*(1+$A8)+(עלויות!$D$15+עלויות!$D$11*(1+$A8)*(הנחות!$C$36+הנחות!$C$39+הנחות!$C$43+הנחות!$C$45)+עלויות!$D$11*(1+$A8)*הנחות!$C$40*הנחות!$C$41+סיכום!$C$7*(1+H$4)*(הנחות!$C$37+הנחות!$C$38)+סיכום!$C$6*(1+H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H$4)*(הנחות!$C$37+הנחות!$C$38)+סיכום!$C$6*(1+H$4)*הנחות!$C$44+עלויות!$D$21+עלויות!$D$25+עלויות!$D$26)),0)</f>
        <v>0.26533064712893728</v>
      </c>
      <c r="I8" s="60">
        <f>IFERROR((סיכום!$C$7*(1+I$4)-(עלויות!$D$37+עלויות!$D$11*(1+$A8)+(עלויות!$D$15+עלויות!$D$11*(1+$A8)*(הנחות!$C$36+הנחות!$C$39+הנחות!$C$43+הנחות!$C$45)+עלויות!$D$11*(1+$A8)*הנחות!$C$40*הנחות!$C$41+סיכום!$C$7*(1+I$4)*(הנחות!$C$37+הנחות!$C$38)+סיכום!$C$6*(1+I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I$4)*(הנחות!$C$37+הנחות!$C$38)+סיכום!$C$6*(1+I$4)*הנחות!$C$44+עלויות!$D$21+עלויות!$D$25+עלויות!$D$26)),0)</f>
        <v>0.29392012399125156</v>
      </c>
      <c r="J8" s="60">
        <f>IFERROR((סיכום!$C$7*(1+J$4)-(עלויות!$D$37+עלויות!$D$11*(1+$A8)+(עלויות!$D$15+עלויות!$D$11*(1+$A8)*(הנחות!$C$36+הנחות!$C$39+הנחות!$C$43+הנחות!$C$45)+עלויות!$D$11*(1+$A8)*הנחות!$C$40*הנחות!$C$41+סיכום!$C$7*(1+J$4)*(הנחות!$C$37+הנחות!$C$38)+סיכום!$C$6*(1+J$4)*הנחות!$C$44+עלויות!$D$21+עלויות!$D$25+עלויות!$D$26)))/(עלויות!$D$37+עלויות!$D$11*(1+$A8)+(עלויות!$D$15+עלויות!$D$11*(1+$A8)*(הנחות!$C$36+הנחות!$C$39+הנחות!$C$43+הנחות!$C$45)+עלויות!$D$11*(1+$A8)*הנחות!$C$40*הנחות!$C$41+סיכום!$C$7*(1+J$4)*(הנחות!$C$37+הנחות!$C$38)+סיכום!$C$6*(1+J$4)*הנחות!$C$44+עלויות!$D$21+עלויות!$D$25+עלויות!$D$26)),0)</f>
        <v>0.32244182156450901</v>
      </c>
    </row>
    <row r="9" spans="1:10" x14ac:dyDescent="0.2">
      <c r="A9" s="59">
        <v>0.1</v>
      </c>
      <c r="B9" s="60">
        <f>IFERROR((סיכום!$C$7*(1+B$4)-(עלויות!$D$37+עלויות!$D$11*(1+$A9)+(עלויות!$D$15+עלויות!$D$11*(1+$A9)*(הנחות!$C$36+הנחות!$C$39+הנחות!$C$43+הנחות!$C$45)+עלויות!$D$11*(1+$A9)*הנחות!$C$40*הנחות!$C$41+סיכום!$C$7*(1+B$4)*(הנחות!$C$37+הנחות!$C$38)+סיכום!$C$6*(1+B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B$4)*(הנחות!$C$37+הנחות!$C$38)+סיכום!$C$6*(1+B$4)*הנחות!$C$44+עלויות!$D$21+עלויות!$D$25+עלויות!$D$26)),0)</f>
        <v>5.8907209932809415E-2</v>
      </c>
      <c r="C9" s="60">
        <f>IFERROR((סיכום!$C$7*(1+C$4)-(עלויות!$D$37+עלויות!$D$11*(1+$A9)+(עלויות!$D$15+עלויות!$D$11*(1+$A9)*(הנחות!$C$36+הנחות!$C$39+הנחות!$C$43+הנחות!$C$45)+עלויות!$D$11*(1+$A9)*הנחות!$C$40*הנחות!$C$41+סיכום!$C$7*(1+C$4)*(הנחות!$C$37+הנחות!$C$38)+סיכום!$C$6*(1+C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C$4)*(הנחות!$C$37+הנחות!$C$38)+סיכום!$C$6*(1+C$4)*הנחות!$C$44+עלויות!$D$21+עלויות!$D$25+עלויות!$D$26)),0)</f>
        <v>8.706020959642892E-2</v>
      </c>
      <c r="D9" s="60">
        <f>IFERROR((סיכום!$C$7*(1+D$4)-(עלויות!$D$37+עלויות!$D$11*(1+$A9)+(עלויות!$D$15+עלויות!$D$11*(1+$A9)*(הנחות!$C$36+הנחות!$C$39+הנחות!$C$43+הנחות!$C$45)+עלויות!$D$11*(1+$A9)*הנחות!$C$40*הנחות!$C$41+סיכום!$C$7*(1+D$4)*(הנחות!$C$37+הנחות!$C$38)+סיכום!$C$6*(1+D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D$4)*(הנחות!$C$37+הנחות!$C$38)+סיכום!$C$6*(1+D$4)*הנחות!$C$44+עלויות!$D$21+עלויות!$D$25+עלויות!$D$26)),0)</f>
        <v>0.11514804034272003</v>
      </c>
      <c r="E9" s="60">
        <f>IFERROR((סיכום!$C$7*(1+E$4)-(עלויות!$D$37+עלויות!$D$11*(1+$A9)+(עלויות!$D$15+עלויות!$D$11*(1+$A9)*(הנחות!$C$36+הנחות!$C$39+הנחות!$C$43+הנחות!$C$45)+עלויות!$D$11*(1+$A9)*הנחות!$C$40*הנחות!$C$41+סיכום!$C$7*(1+E$4)*(הנחות!$C$37+הנחות!$C$38)+סיכום!$C$6*(1+E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E$4)*(הנחות!$C$37+הנחות!$C$38)+סיכום!$C$6*(1+E$4)*הנחות!$C$44+עלויות!$D$21+עלויות!$D$25+עלויות!$D$26)),0)</f>
        <v>0.14317092819082966</v>
      </c>
      <c r="F9" s="60">
        <f>IFERROR((סיכום!$C$7*(1+F$4)-(עלויות!$D$37+עלויות!$D$11*(1+$A9)+(עלויות!$D$15+עלויות!$D$11*(1+$A9)*(הנחות!$C$36+הנחות!$C$39+הנחות!$C$43+הנחות!$C$45)+עלויות!$D$11*(1+$A9)*הנחות!$C$40*הנחות!$C$41+סיכום!$C$7*(1+F$4)*(הנחות!$C$37+הנחות!$C$38)+סיכום!$C$6*(1+F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F$4)*(הנחות!$C$37+הנחות!$C$38)+סיכום!$C$6*(1+F$4)*הנחות!$C$44+עלויות!$D$21+עלויות!$D$25+עלויות!$D$26)),0)</f>
        <v>0.17112909811593716</v>
      </c>
      <c r="G9" s="60">
        <f>IFERROR((סיכום!$C$7*(1+G$4)-(עלויות!$D$37+עלויות!$D$11*(1+$A9)+(עלויות!$D$15+עלויות!$D$11*(1+$A9)*(הנחות!$C$36+הנחות!$C$39+הנחות!$C$43+הנחות!$C$45)+עלויות!$D$11*(1+$A9)*הנחות!$C$40*הנחות!$C$41+סיכום!$C$7*(1+G$4)*(הנחות!$C$37+הנחות!$C$38)+סיכום!$C$6*(1+G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G$4)*(הנחות!$C$37+הנחות!$C$38)+סיכום!$C$6*(1+G$4)*הנחות!$C$44+עלויות!$D$21+עלויות!$D$25+עלויות!$D$26)),0)</f>
        <v>0.1990227740552758</v>
      </c>
      <c r="H9" s="60">
        <f>IFERROR((סיכום!$C$7*(1+H$4)-(עלויות!$D$37+עלויות!$D$11*(1+$A9)+(עלויות!$D$15+עלויות!$D$11*(1+$A9)*(הנחות!$C$36+הנחות!$C$39+הנחות!$C$43+הנחות!$C$45)+עלויות!$D$11*(1+$A9)*הנחות!$C$40*הנחות!$C$41+סיכום!$C$7*(1+H$4)*(הנחות!$C$37+הנחות!$C$38)+סיכום!$C$6*(1+H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H$4)*(הנחות!$C$37+הנחות!$C$38)+סיכום!$C$6*(1+H$4)*הנחות!$C$44+עלויות!$D$21+עלויות!$D$25+עלויות!$D$26)),0)</f>
        <v>0.22685217891411036</v>
      </c>
      <c r="I9" s="60">
        <f>IFERROR((סיכום!$C$7*(1+I$4)-(עלויות!$D$37+עלויות!$D$11*(1+$A9)+(עלויות!$D$15+עלויות!$D$11*(1+$A9)*(הנחות!$C$36+הנחות!$C$39+הנחות!$C$43+הנחות!$C$45)+עלויות!$D$11*(1+$A9)*הנחות!$C$40*הנחות!$C$41+סיכום!$C$7*(1+I$4)*(הנחות!$C$37+הנחות!$C$38)+סיכום!$C$6*(1+I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I$4)*(הנחות!$C$37+הנחות!$C$38)+סיכום!$C$6*(1+I$4)*הנחות!$C$44+עלויות!$D$21+עלויות!$D$25+עלויות!$D$26)),0)</f>
        <v>0.25461753457167569</v>
      </c>
      <c r="J9" s="60">
        <f>IFERROR((סיכום!$C$7*(1+J$4)-(עלויות!$D$37+עלויות!$D$11*(1+$A9)+(עלויות!$D$15+עלויות!$D$11*(1+$A9)*(הנחות!$C$36+הנחות!$C$39+הנחות!$C$43+הנחות!$C$45)+עלויות!$D$11*(1+$A9)*הנחות!$C$40*הנחות!$C$41+סיכום!$C$7*(1+J$4)*(הנחות!$C$37+הנחות!$C$38)+סיכום!$C$6*(1+J$4)*הנחות!$C$44+עלויות!$D$21+עלויות!$D$25+עלויות!$D$26)))/(עלויות!$D$37+עלויות!$D$11*(1+$A9)+(עלויות!$D$15+עלויות!$D$11*(1+$A9)*(הנחות!$C$36+הנחות!$C$39+הנחות!$C$43+הנחות!$C$45)+עלויות!$D$11*(1+$A9)*הנחות!$C$40*הנחות!$C$41+סיכום!$C$7*(1+J$4)*(הנחות!$C$37+הנחות!$C$38)+סיכום!$C$6*(1+J$4)*הנחות!$C$44+עלויות!$D$21+עלויות!$D$25+עלויות!$D$26)),0)</f>
        <v>0.28231906188707317</v>
      </c>
    </row>
    <row r="10" spans="1:10" x14ac:dyDescent="0.2">
      <c r="A10" s="59">
        <v>0.15</v>
      </c>
      <c r="B10" s="60">
        <f>IFERROR((סיכום!$C$7*(1+B$4)-(עלויות!$D$37+עלויות!$D$11*(1+$A10)+(עלויות!$D$15+עלויות!$D$11*(1+$A10)*(הנחות!$C$36+הנחות!$C$39+הנחות!$C$43+הנחות!$C$45)+עלויות!$D$11*(1+$A10)*הנחות!$C$40*הנחות!$C$41+סיכום!$C$7*(1+B$4)*(הנחות!$C$37+הנחות!$C$38)+סיכום!$C$6*(1+B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B$4)*(הנחות!$C$37+הנחות!$C$38)+סיכום!$C$6*(1+B$4)*הנחות!$C$44+עלויות!$D$21+עלויות!$D$25+עלויות!$D$26)),0)</f>
        <v>2.7445311902623344E-2</v>
      </c>
      <c r="C10" s="60">
        <f>IFERROR((סיכום!$C$7*(1+C$4)-(עלויות!$D$37+עלויות!$D$11*(1+$A10)+(עלויות!$D$15+עלויות!$D$11*(1+$A10)*(הנחות!$C$36+הנחות!$C$39+הנחות!$C$43+הנחות!$C$45)+עלויות!$D$11*(1+$A10)*הנחות!$C$40*הנחות!$C$41+סיכום!$C$7*(1+C$4)*(הנחות!$C$37+הנחות!$C$38)+סיכום!$C$6*(1+C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C$4)*(הנחות!$C$37+הנחות!$C$38)+סיכום!$C$6*(1+C$4)*הנחות!$C$44+עלויות!$D$21+עלויות!$D$25+עלויות!$D$26)),0)</f>
        <v>5.4798153950558329E-2</v>
      </c>
      <c r="D10" s="60">
        <f>IFERROR((סיכום!$C$7*(1+D$4)-(עלויות!$D$37+עלויות!$D$11*(1+$A10)+(עלויות!$D$15+עלויות!$D$11*(1+$A10)*(הנחות!$C$36+הנחות!$C$39+הנחות!$C$43+הנחות!$C$45)+עלויות!$D$11*(1+$A10)*הנחות!$C$40*הנחות!$C$41+סיכום!$C$7*(1+D$4)*(הנחות!$C$37+הנחות!$C$38)+סיכום!$C$6*(1+D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D$4)*(הנחות!$C$37+הנחות!$C$38)+סיכום!$C$6*(1+D$4)*הנחות!$C$44+עלויות!$D$21+עלויות!$D$25+עלויות!$D$26)),0)</f>
        <v>8.2089556315188925E-2</v>
      </c>
      <c r="E10" s="60">
        <f>IFERROR((סיכום!$C$7*(1+E$4)-(עלויות!$D$37+עלויות!$D$11*(1+$A10)+(עלויות!$D$15+עלויות!$D$11*(1+$A10)*(הנחות!$C$36+הנחות!$C$39+הנחות!$C$43+הנחות!$C$45)+עלויות!$D$11*(1+$A10)*הנחות!$C$40*הנחות!$C$41+סיכום!$C$7*(1+E$4)*(הנחות!$C$37+הנחות!$C$38)+סיכום!$C$6*(1+E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E$4)*(הנחות!$C$37+הנחות!$C$38)+סיכום!$C$6*(1+E$4)*הנחות!$C$44+עלויות!$D$21+עלויות!$D$25+עלויות!$D$26)),0)</f>
        <v>0.10931972577209981</v>
      </c>
      <c r="F10" s="60">
        <f>IFERROR((סיכום!$C$7*(1+F$4)-(עלויות!$D$37+עלויות!$D$11*(1+$A10)+(עלויות!$D$15+עלויות!$D$11*(1+$A10)*(הנחות!$C$36+הנחות!$C$39+הנחות!$C$43+הנחות!$C$45)+עלויות!$D$11*(1+$A10)*הנחות!$C$40*הנחות!$C$41+סיכום!$C$7*(1+F$4)*(הנחות!$C$37+הנחות!$C$38)+סיכום!$C$6*(1+F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F$4)*(הנחות!$C$37+הנחות!$C$38)+סיכום!$C$6*(1+F$4)*הנחות!$C$44+עלויות!$D$21+עלויות!$D$25+עלויות!$D$26)),0)</f>
        <v>0.13648886817004363</v>
      </c>
      <c r="G10" s="60">
        <f>IFERROR((סיכום!$C$7*(1+G$4)-(עלויות!$D$37+עלויות!$D$11*(1+$A10)+(עלויות!$D$15+עלויות!$D$11*(1+$A10)*(הנחות!$C$36+הנחות!$C$39+הנחות!$C$43+הנחות!$C$45)+עלויות!$D$11*(1+$A10)*הנחות!$C$40*הנחות!$C$41+סיכום!$C$7*(1+G$4)*(הנחות!$C$37+הנחות!$C$38)+סיכום!$C$6*(1+G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G$4)*(הנחות!$C$37+הנחות!$C$38)+סיכום!$C$6*(1+G$4)*הנחות!$C$44+עלויות!$D$21+עלויות!$D$25+עלויות!$D$26)),0)</f>
        <v>0.16359718843612683</v>
      </c>
      <c r="H10" s="60">
        <f>IFERROR((סיכום!$C$7*(1+H$4)-(עלויות!$D$37+עלויות!$D$11*(1+$A10)+(עלויות!$D$15+עלויות!$D$11*(1+$A10)*(הנחות!$C$36+הנחות!$C$39+הנחות!$C$43+הנחות!$C$45)+עלויות!$D$11*(1+$A10)*הנחות!$C$40*הנחות!$C$41+סיכום!$C$7*(1+H$4)*(הנחות!$C$37+הנחות!$C$38)+סיכום!$C$6*(1+H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H$4)*(הנחות!$C$37+הנחות!$C$38)+סיכום!$C$6*(1+H$4)*הנחות!$C$44+עלויות!$D$21+עלויות!$D$25+עלויות!$D$26)),0)</f>
        <v>0.19064489058096279</v>
      </c>
      <c r="I10" s="60">
        <f>IFERROR((סיכום!$C$7*(1+I$4)-(עלויות!$D$37+עלויות!$D$11*(1+$A10)+(עלויות!$D$15+עלויות!$D$11*(1+$A10)*(הנחות!$C$36+הנחות!$C$39+הנחות!$C$43+הנחות!$C$45)+עלויות!$D$11*(1+$A10)*הנחות!$C$40*הנחות!$C$41+סיכום!$C$7*(1+I$4)*(הנחות!$C$37+הנחות!$C$38)+סיכום!$C$6*(1+I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I$4)*(הנחות!$C$37+הנחות!$C$38)+סיכום!$C$6*(1+I$4)*הנחות!$C$44+עלויות!$D$21+עלויות!$D$25+עלויות!$D$26)),0)</f>
        <v>0.2176321777037892</v>
      </c>
      <c r="J10" s="60">
        <f>IFERROR((סיכום!$C$7*(1+J$4)-(עלויות!$D$37+עלויות!$D$11*(1+$A10)+(עלויות!$D$15+עלויות!$D$11*(1+$A10)*(הנחות!$C$36+הנחות!$C$39+הנחות!$C$43+הנחות!$C$45)+עלויות!$D$11*(1+$A10)*הנחות!$C$40*הנחות!$C$41+סיכום!$C$7*(1+J$4)*(הנחות!$C$37+הנחות!$C$38)+סיכום!$C$6*(1+J$4)*הנחות!$C$44+עלויות!$D$21+עלויות!$D$25+עלויות!$D$26)))/(עלויות!$D$37+עלויות!$D$11*(1+$A10)+(עלויות!$D$15+עלויות!$D$11*(1+$A10)*(הנחות!$C$36+הנחות!$C$39+הנחות!$C$43+הנחות!$C$45)+עלויות!$D$11*(1+$A10)*הנחות!$C$40*הנחות!$C$41+סיכום!$C$7*(1+J$4)*(הנחות!$C$37+הנחות!$C$38)+סיכום!$C$6*(1+J$4)*הנחות!$C$44+עלויות!$D$21+עלויות!$D$25+עלויות!$D$26)),0)</f>
        <v>0.2445592519975528</v>
      </c>
    </row>
    <row r="12" spans="1:10" x14ac:dyDescent="0.2">
      <c r="A12" s="2" t="s">
        <v>198</v>
      </c>
    </row>
    <row r="13" spans="1:10" x14ac:dyDescent="0.2">
      <c r="A13" s="2" t="s">
        <v>199</v>
      </c>
    </row>
  </sheetData>
  <conditionalFormatting sqref="B5:J10">
    <cfRule type="cellIs" dxfId="2" priority="1" operator="lessThan">
      <formula>0.08</formula>
    </cfRule>
    <cfRule type="cellIs" dxfId="1" priority="2" operator="between">
      <formula>0.08</formula>
      <formula>0.1499</formula>
    </cfRule>
    <cfRule type="cellIs" dxfId="0" priority="3" operator="greaterThanOrEqual">
      <formula>0.15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showGridLines="0" rightToLeft="1" workbookViewId="0"/>
  </sheetViews>
  <sheetFormatPr defaultRowHeight="14.25" x14ac:dyDescent="0.2"/>
  <cols>
    <col min="1" max="1" width="48" customWidth="1"/>
    <col min="2" max="2" width="3" customWidth="1"/>
    <col min="3" max="3" width="18" customWidth="1"/>
    <col min="4" max="4" width="3" customWidth="1"/>
    <col min="5" max="5" width="40" customWidth="1"/>
  </cols>
  <sheetData>
    <row r="1" spans="1:5" ht="18" x14ac:dyDescent="0.25">
      <c r="A1" s="1" t="s">
        <v>200</v>
      </c>
    </row>
    <row r="2" spans="1:5" x14ac:dyDescent="0.2">
      <c r="A2" s="2" t="s">
        <v>201</v>
      </c>
    </row>
    <row r="5" spans="1:5" x14ac:dyDescent="0.2">
      <c r="A5" s="4" t="s">
        <v>202</v>
      </c>
      <c r="C5" s="20">
        <f>סיכום!$C$7</f>
        <v>44745224.576271191</v>
      </c>
    </row>
    <row r="6" spans="1:5" x14ac:dyDescent="0.2">
      <c r="A6" s="4" t="s">
        <v>203</v>
      </c>
      <c r="C6" s="20">
        <f>-סיכום!$C$7*הנחות!$C$61</f>
        <v>-8949044.915254239</v>
      </c>
      <c r="E6" s="2" t="s">
        <v>204</v>
      </c>
    </row>
    <row r="7" spans="1:5" x14ac:dyDescent="0.2">
      <c r="A7" s="7" t="s">
        <v>205</v>
      </c>
      <c r="C7" s="21">
        <f>SUM(C5:C6)</f>
        <v>35796179.661016956</v>
      </c>
    </row>
    <row r="8" spans="1:5" x14ac:dyDescent="0.2">
      <c r="A8" s="4" t="s">
        <v>206</v>
      </c>
      <c r="C8" s="20">
        <f>-עלויות!$D$11</f>
        <v>-19605190</v>
      </c>
    </row>
    <row r="9" spans="1:5" x14ac:dyDescent="0.2">
      <c r="A9" s="4" t="s">
        <v>207</v>
      </c>
      <c r="C9" s="20">
        <f>-עלויות!$D$27</f>
        <v>-7012623.8772881348</v>
      </c>
    </row>
    <row r="10" spans="1:5" x14ac:dyDescent="0.2">
      <c r="A10" s="7" t="s">
        <v>208</v>
      </c>
      <c r="C10" s="21">
        <f>SUM(C7:C9)</f>
        <v>9178365.7837288212</v>
      </c>
    </row>
    <row r="11" spans="1:5" x14ac:dyDescent="0.2">
      <c r="A11" s="4" t="s">
        <v>209</v>
      </c>
      <c r="C11" s="20">
        <f>-הנחות!$C$52</f>
        <v>-250000</v>
      </c>
      <c r="E11" s="2" t="s">
        <v>210</v>
      </c>
    </row>
    <row r="12" spans="1:5" x14ac:dyDescent="0.2">
      <c r="A12" s="4" t="s">
        <v>211</v>
      </c>
      <c r="C12" s="20">
        <f>-הנחות!$C$53</f>
        <v>0</v>
      </c>
    </row>
    <row r="13" spans="1:5" x14ac:dyDescent="0.2">
      <c r="A13" s="7" t="s">
        <v>212</v>
      </c>
      <c r="C13" s="21">
        <f>SUM(C10:C12)</f>
        <v>8928365.7837288212</v>
      </c>
    </row>
    <row r="14" spans="1:5" x14ac:dyDescent="0.2">
      <c r="A14" s="7" t="s">
        <v>213</v>
      </c>
      <c r="C14" s="21">
        <f>C13/(1+הנחות!$C$51)</f>
        <v>8422986.588423416</v>
      </c>
      <c r="E14" s="2" t="s">
        <v>214</v>
      </c>
    </row>
    <row r="15" spans="1:5" x14ac:dyDescent="0.2">
      <c r="A15" s="4" t="s">
        <v>215</v>
      </c>
      <c r="C15" s="20">
        <f>-הנחות!$C$50</f>
        <v>-8500000</v>
      </c>
    </row>
    <row r="17" spans="1:3" ht="15.75" x14ac:dyDescent="0.25">
      <c r="A17" s="44" t="s">
        <v>216</v>
      </c>
      <c r="B17" s="39"/>
      <c r="C17" s="45">
        <f>C14+C15</f>
        <v>-77013.411576583982</v>
      </c>
    </row>
    <row r="18" spans="1:3" x14ac:dyDescent="0.2">
      <c r="A18" s="7" t="str">
        <f>IF(C17&gt;=0,"עודף כדאיות — מחיר הקרקע מוצדק בדרישת הרווח הנוכחית","חוסר כדאיות — מחיר הקרקע גבוה מהשווי המחולץ")</f>
        <v>חוסר כדאיות — מחיר הקרקע גבוה מהשווי המחולץ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הנחות</vt:lpstr>
      <vt:lpstr>דירות</vt:lpstr>
      <vt:lpstr>עלויות</vt:lpstr>
      <vt:lpstr>סיכום</vt:lpstr>
      <vt:lpstr>תזרים</vt:lpstr>
      <vt:lpstr>רגישות</vt:lpstr>
      <vt:lpstr>חילוץ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דוד פלדמן</cp:lastModifiedBy>
  <dcterms:created xsi:type="dcterms:W3CDTF">2026-08-26T08:17:32Z</dcterms:created>
  <dcterms:modified xsi:type="dcterms:W3CDTF">2026-08-26T08:18:06Z</dcterms:modified>
</cp:coreProperties>
</file>